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_rels/sheet2.xml.rels" ContentType="application/vnd.openxmlformats-package.relationship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Como usar" sheetId="1" state="visible" r:id="rId3"/>
    <sheet name="Contatos" sheetId="2" state="visible" r:id="rId4"/>
    <sheet name="Anfitriões Airbnb" sheetId="3" state="visible" r:id="rId5"/>
    <sheet name="Mensagens" sheetId="4" state="visible" r:id="rId6"/>
  </sheets>
  <definedNames>
    <definedName function="false" hidden="true" localSheetId="1" name="_xlnm._FilterDatabase" vbProcedure="false">Contatos!$A$1:$R$63</definedName>
  </definedName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<sst xmlns="http://schemas.openxmlformats.org/spreadsheetml/2006/main" count="672" uniqueCount="320">
  <si>
    <t xml:space="preserve">Rota Comercial Z7 — planilha de prospecção</t>
  </si>
  <si>
    <t xml:space="preserve">Lavanderia de autosserviço do Posto Zandoná Z7 · R. Ottokar Doerffel, 1489 · Anita Garibaldi, Joinville/SC</t>
  </si>
  <si>
    <t xml:space="preserve">As abas</t>
  </si>
  <si>
    <t xml:space="preserve">Contatos — os 62 alvos já levantados, em ordem de distância do posto. A mensagem de cada um é montada sozinha.</t>
  </si>
  <si>
    <t xml:space="preserve">Anfitriões Airbnb — aba em branco para você preencher a partir dos anúncios que achar. Monta a mensagem sozinha também.</t>
  </si>
  <si>
    <t xml:space="preserve">Mensagens — os 11 roteiros, um por tipo de cliente. Editou aqui, muda em todas as linhas das outras abas.</t>
  </si>
  <si>
    <t xml:space="preserve">O que você preenche</t>
  </si>
  <si>
    <t xml:space="preserve">Só as células de fundo amarelo. Todo o resto é calculado.</t>
  </si>
  <si>
    <t xml:space="preserve">Na aba Contatos: Status e Observações.</t>
  </si>
  <si>
    <t xml:space="preserve">Na aba Anfitriões Airbnb: tudo até a coluna Onde achou o telefone.</t>
  </si>
  <si>
    <t xml:space="preserve">Sobre o telefone do anfitrião do Airbnb</t>
  </si>
  <si>
    <t xml:space="preserve">O Airbnb não publica telefone de anfitrião em lugar nenhum do anúncio, nem para quem está logado. O número só</t>
  </si>
  <si>
    <t xml:space="preserve">aparece depois de uma reserva confirmada, e normalmente mascarado. Não adianta procurar na página.</t>
  </si>
  <si>
    <t xml:space="preserve">Os três caminhos que funcionam de verdade:</t>
  </si>
  <si>
    <t xml:space="preserve">1. Pegue o nome do prédio no título do anúncio e procure esse prédio no Google e no Instagram. Quem opera várias</t>
  </si>
  <si>
    <t xml:space="preserve">   unidades quase sempre anuncia fora do Airbnb também — e aí o WhatsApp está publicado.</t>
  </si>
  <si>
    <t xml:space="preserve">2. Vá ao prédio. Portaria, zelador e mural alcançam todos os anfitriões de uma vez.</t>
  </si>
  <si>
    <t xml:space="preserve">3. Procure o título do anúncio no OLX, no Imovelweb e no Instagram: é comum o mesmo imóvel estar nos dois lugares,</t>
  </si>
  <si>
    <t xml:space="preserve">   e no anúncio imobiliário o telefone é público.</t>
  </si>
  <si>
    <t xml:space="preserve">Não aborde anfitrião pelo chat do Airbnb oferecendo serviço: é contra as regras da plataforma e queima sua imagem.</t>
  </si>
  <si>
    <t xml:space="preserve">A coluna Link WhatsApp só funciona para celular (11 dígitos). Para telefone fixo ela fica vazia de propósito.</t>
  </si>
  <si>
    <t xml:space="preserve">Ela abre a conversa; a mensagem fica na coluna ao lado, para você copiar e colar.</t>
  </si>
  <si>
    <t xml:space="preserve">Prioridade</t>
  </si>
  <si>
    <t xml:space="preserve">Segmento</t>
  </si>
  <si>
    <t xml:space="preserve">Nome</t>
  </si>
  <si>
    <t xml:space="preserve">Porte</t>
  </si>
  <si>
    <t xml:space="preserve">Endereço</t>
  </si>
  <si>
    <t xml:space="preserve">Bairro</t>
  </si>
  <si>
    <t xml:space="preserve">Distância do Z7</t>
  </si>
  <si>
    <t xml:space="preserve">Telefone</t>
  </si>
  <si>
    <t xml:space="preserve">Telefone 2</t>
  </si>
  <si>
    <t xml:space="preserve">Contato extra</t>
  </si>
  <si>
    <t xml:space="preserve">Roteiro</t>
  </si>
  <si>
    <t xml:space="preserve">Tel 1 (dígitos)</t>
  </si>
  <si>
    <t xml:space="preserve">Tel 2 (dígitos)</t>
  </si>
  <si>
    <t xml:space="preserve">Celular p/ WhatsApp</t>
  </si>
  <si>
    <t xml:space="preserve">Link WhatsApp</t>
  </si>
  <si>
    <t xml:space="preserve">Mensagem pronta</t>
  </si>
  <si>
    <t xml:space="preserve">Status</t>
  </si>
  <si>
    <t xml:space="preserve">Observações</t>
  </si>
  <si>
    <t xml:space="preserve">1</t>
  </si>
  <si>
    <t xml:space="preserve">Barbearia/Salao</t>
  </si>
  <si>
    <t xml:space="preserve">Barbearia Joinville</t>
  </si>
  <si>
    <t xml:space="preserve">R. Rio Grande do Sul, 260 - sala 03</t>
  </si>
  <si>
    <t xml:space="preserve">Anita Garibaldi</t>
  </si>
  <si>
    <t xml:space="preserve">ate 1 km</t>
  </si>
  <si>
    <t xml:space="preserve">(47) 99945-1884</t>
  </si>
  <si>
    <t xml:space="preserve">beleza</t>
  </si>
  <si>
    <t xml:space="preserve">A contatar</t>
  </si>
  <si>
    <t xml:space="preserve">Barbearia Navajo</t>
  </si>
  <si>
    <t xml:space="preserve">R. Ottokar Doerffel, 730 - sala 4</t>
  </si>
  <si>
    <t xml:space="preserve">Atiradores</t>
  </si>
  <si>
    <t xml:space="preserve">Academia</t>
  </si>
  <si>
    <t xml:space="preserve">Complexo Esportivo Oda Fitness</t>
  </si>
  <si>
    <t xml:space="preserve">R. Parana, 56</t>
  </si>
  <si>
    <t xml:space="preserve">(47) 3429-2031</t>
  </si>
  <si>
    <t xml:space="preserve">academia</t>
  </si>
  <si>
    <t xml:space="preserve">Multiplicador</t>
  </si>
  <si>
    <t xml:space="preserve">Construtora Convisa</t>
  </si>
  <si>
    <t xml:space="preserve">R. Jacob Eisenhuth, 572</t>
  </si>
  <si>
    <t xml:space="preserve">(47) 3032-4400</t>
  </si>
  <si>
    <t xml:space="preserve">seg-sex 8h-18h, sab 8h-14h</t>
  </si>
  <si>
    <t xml:space="preserve">construtora</t>
  </si>
  <si>
    <t xml:space="preserve">Predio de studios</t>
  </si>
  <si>
    <t xml:space="preserve">Curacao Residence</t>
  </si>
  <si>
    <t xml:space="preserve">R. Porto Uniao, 1194</t>
  </si>
  <si>
    <t xml:space="preserve">plantas de 39 a 163 m2, coworking e piscina</t>
  </si>
  <si>
    <t xml:space="preserve">zelador</t>
  </si>
  <si>
    <t xml:space="preserve">Ed. Frame (46 unidades - studios de 38 m2)</t>
  </si>
  <si>
    <t xml:space="preserve">R. Concordia, 28</t>
  </si>
  <si>
    <t xml:space="preserve">Construtora Viplan - entregue dez/2025</t>
  </si>
  <si>
    <t xml:space="preserve">Ed. WB - Darcy Vargas</t>
  </si>
  <si>
    <t xml:space="preserve">perto da Maternidade Darcy Vargas e da Censupeg (confirmar)</t>
  </si>
  <si>
    <t xml:space="preserve">anuncio ativo 'Apto 203 WB DarcyVargas'</t>
  </si>
  <si>
    <t xml:space="preserve">Parceria-chave</t>
  </si>
  <si>
    <t xml:space="preserve">Joinville Region Convention &amp; Visitors Bureau</t>
  </si>
  <si>
    <t xml:space="preserve">R. Ottokar Doerffel, 1733</t>
  </si>
  <si>
    <t xml:space="preserve">visitejoinville.com.br</t>
  </si>
  <si>
    <t xml:space="preserve">bureau</t>
  </si>
  <si>
    <t xml:space="preserve">Estetica/Spa</t>
  </si>
  <si>
    <t xml:space="preserve">MS Corpo &amp; Mente Spa</t>
  </si>
  <si>
    <t xml:space="preserve">R. Dr. Roberto Koch, 71B - fundos</t>
  </si>
  <si>
    <t xml:space="preserve">Mingus 897 (54 unidades - smart building)</t>
  </si>
  <si>
    <t xml:space="preserve">R. Coronel Santiago, 897</t>
  </si>
  <si>
    <t xml:space="preserve">LHW Engenharia</t>
  </si>
  <si>
    <t xml:space="preserve">Pet shop</t>
  </si>
  <si>
    <t xml:space="preserve">Pet shop - R. Coronel Santiago 870</t>
  </si>
  <si>
    <t xml:space="preserve">R. Coronel Santiago, 870 - sala 2</t>
  </si>
  <si>
    <t xml:space="preserve">(47) 98903-9023</t>
  </si>
  <si>
    <t xml:space="preserve">pet</t>
  </si>
  <si>
    <t xml:space="preserve">Pet shop - R. Ministro Calogeras 1472</t>
  </si>
  <si>
    <t xml:space="preserve">R. Ministro Calogeras, 1472</t>
  </si>
  <si>
    <t xml:space="preserve">(47) 99738-2080</t>
  </si>
  <si>
    <t xml:space="preserve">(47) 99717-2108</t>
  </si>
  <si>
    <t xml:space="preserve">Predio dos 'Estudios 01 a 08' - anfitriao com 3 unidades</t>
  </si>
  <si>
    <t xml:space="preserve">coracao do Anita Garibaldi, perto da BR-101 (a localizar)</t>
  </si>
  <si>
    <t xml:space="preserve">anfitriao Sergio - anuncia Studio 01, Studio 03 e Estudio 08</t>
  </si>
  <si>
    <t xml:space="preserve">2</t>
  </si>
  <si>
    <t xml:space="preserve">Academia Getulio</t>
  </si>
  <si>
    <t xml:space="preserve">R. Dr. Placido Gomes, 308</t>
  </si>
  <si>
    <t xml:space="preserve">Academia Ph.D Sports Joinville</t>
  </si>
  <si>
    <t xml:space="preserve">R. Eugenio Moreira, 331</t>
  </si>
  <si>
    <t xml:space="preserve">Espaco Barbearia</t>
  </si>
  <si>
    <t xml:space="preserve">R. Anita Garibaldi, 961</t>
  </si>
  <si>
    <t xml:space="preserve">Homenz Joinville (estetica masculina)</t>
  </si>
  <si>
    <t xml:space="preserve">R. Anita Garibaldi, 413 - loja 02</t>
  </si>
  <si>
    <t xml:space="preserve">homenzjoinville.com.br</t>
  </si>
  <si>
    <t xml:space="preserve">Jana Fantoni Clinica de Estetica</t>
  </si>
  <si>
    <t xml:space="preserve">R. Padre Kolb, 1547</t>
  </si>
  <si>
    <t xml:space="preserve">janafantoni.com.br</t>
  </si>
  <si>
    <t xml:space="preserve">Noxii Live Center</t>
  </si>
  <si>
    <t xml:space="preserve">R. Pernambuco, 574</t>
  </si>
  <si>
    <t xml:space="preserve">Torre Morion</t>
  </si>
  <si>
    <t xml:space="preserve">Anita Garibaldi (a confirmar)</t>
  </si>
  <si>
    <t xml:space="preserve">obra da EJF Construtora - anfitria Grasiela ('Home Stays')</t>
  </si>
  <si>
    <t xml:space="preserve">3</t>
  </si>
  <si>
    <t xml:space="preserve">ECL Pet Shop</t>
  </si>
  <si>
    <t xml:space="preserve">R. Rio Grande do Sul</t>
  </si>
  <si>
    <t xml:space="preserve">Wave Residence (studios de 28 m2 - entrega jul/2028)</t>
  </si>
  <si>
    <t xml:space="preserve">divisa Anita Garibaldi / Atiradores</t>
  </si>
  <si>
    <t xml:space="preserve">obra desde jul/2025, a partir de R$ 282 mil</t>
  </si>
  <si>
    <t xml:space="preserve">Hospedagem</t>
  </si>
  <si>
    <t xml:space="preserve">American Hostel</t>
  </si>
  <si>
    <t xml:space="preserve">5 quartos</t>
  </si>
  <si>
    <t xml:space="preserve">R. Capinzal, 584</t>
  </si>
  <si>
    <t xml:space="preserve">America</t>
  </si>
  <si>
    <t xml:space="preserve">1-3 km</t>
  </si>
  <si>
    <t xml:space="preserve">(47) 99918-8474</t>
  </si>
  <si>
    <t xml:space="preserve">pousada</t>
  </si>
  <si>
    <t xml:space="preserve">Edificio Prinz Mercure (zelador/sindico)</t>
  </si>
  <si>
    <t xml:space="preserve">Short stay/operador</t>
  </si>
  <si>
    <t xml:space="preserve">IVVI - flats de short stay</t>
  </si>
  <si>
    <t xml:space="preserve">R. Otto Boehm (numero a confirmar)</t>
  </si>
  <si>
    <t xml:space="preserve">Centro / America</t>
  </si>
  <si>
    <t xml:space="preserve">anfitriao 'IVVI Gestao e Tecnologia' no Airbnb</t>
  </si>
  <si>
    <t xml:space="preserve">gestora</t>
  </si>
  <si>
    <t xml:space="preserve">Pousada Ipanema</t>
  </si>
  <si>
    <t xml:space="preserve">a confirmar</t>
  </si>
  <si>
    <t xml:space="preserve">R. Paraiba, 912</t>
  </si>
  <si>
    <t xml:space="preserve">(47) 3227-8462</t>
  </si>
  <si>
    <t xml:space="preserve">Pousada Joinvilense</t>
  </si>
  <si>
    <t xml:space="preserve">R. Corupa, 267</t>
  </si>
  <si>
    <t xml:space="preserve">(47) 98816-2760</t>
  </si>
  <si>
    <t xml:space="preserve">Lar de idosos</t>
  </si>
  <si>
    <t xml:space="preserve">Residencial Geriatrico Hera</t>
  </si>
  <si>
    <t xml:space="preserve">R. Dr. Placido Olimpio de Oliveira, 256</t>
  </si>
  <si>
    <t xml:space="preserve">Bucarein</t>
  </si>
  <si>
    <t xml:space="preserve">(47) 99624-0990</t>
  </si>
  <si>
    <t xml:space="preserve">ilpi</t>
  </si>
  <si>
    <t xml:space="preserve">AP London</t>
  </si>
  <si>
    <t xml:space="preserve">Centro de Joinville (a confirmar)</t>
  </si>
  <si>
    <t xml:space="preserve">Centro</t>
  </si>
  <si>
    <t xml:space="preserve">anuncio ativo 'AP London - Centro de Joinville'</t>
  </si>
  <si>
    <t xml:space="preserve">Restaurante</t>
  </si>
  <si>
    <t xml:space="preserve">Biergarten</t>
  </si>
  <si>
    <t xml:space="preserve">R. Visconde de Taunay, 1183</t>
  </si>
  <si>
    <t xml:space="preserve">(47) 3028-3771</t>
  </si>
  <si>
    <t xml:space="preserve">restaurante</t>
  </si>
  <si>
    <t xml:space="preserve">Fattori da Visconde</t>
  </si>
  <si>
    <t xml:space="preserve">R. Visconde de Taunay, 1136</t>
  </si>
  <si>
    <t xml:space="preserve">(47) 3027-7727</t>
  </si>
  <si>
    <t xml:space="preserve">Pet shop - R. Aquidaban 730</t>
  </si>
  <si>
    <t xml:space="preserve">R. Aquidaban, 730</t>
  </si>
  <si>
    <t xml:space="preserve">(47) 3432-1792</t>
  </si>
  <si>
    <t xml:space="preserve">(47) 99751-5499</t>
  </si>
  <si>
    <t xml:space="preserve">Pet shop - R. Jaragua 910</t>
  </si>
  <si>
    <t xml:space="preserve">R. Jaragua, 910 - salas 1 e 2</t>
  </si>
  <si>
    <t xml:space="preserve">(47) 3023-7320</t>
  </si>
  <si>
    <t xml:space="preserve">(47) 99783-0156</t>
  </si>
  <si>
    <t xml:space="preserve">Pizza na Pedra</t>
  </si>
  <si>
    <t xml:space="preserve">R. Visconde de Taunay, 1223</t>
  </si>
  <si>
    <t xml:space="preserve">(47) 3028-1868</t>
  </si>
  <si>
    <t xml:space="preserve">Tiao Cabeleireiros</t>
  </si>
  <si>
    <t xml:space="preserve">Av. Getulio Vargas, 1446 - s. 62/63</t>
  </si>
  <si>
    <t xml:space="preserve">Vita Vet Clinica Veterinaria e Pet Shop</t>
  </si>
  <si>
    <t xml:space="preserve">R. Otto Boehm, 847</t>
  </si>
  <si>
    <t xml:space="preserve">D.O.C. Cucina e Co</t>
  </si>
  <si>
    <t xml:space="preserve">R. Visconde de Taunay, 146</t>
  </si>
  <si>
    <t xml:space="preserve">(47) 3025-3822</t>
  </si>
  <si>
    <t xml:space="preserve">Hosu Sushi</t>
  </si>
  <si>
    <t xml:space="preserve">R. Visconde de Taunay, 572 B</t>
  </si>
  <si>
    <t xml:space="preserve">(47) 98838-2575</t>
  </si>
  <si>
    <t xml:space="preserve">Blumerville Casa de Repouso</t>
  </si>
  <si>
    <t xml:space="preserve">Rua Sol, 144</t>
  </si>
  <si>
    <t xml:space="preserve">Gloria</t>
  </si>
  <si>
    <t xml:space="preserve">3-6 km</t>
  </si>
  <si>
    <t xml:space="preserve">casaderepousoblumerville.com.br</t>
  </si>
  <si>
    <t xml:space="preserve">Casa de Repouso Cuidar</t>
  </si>
  <si>
    <t xml:space="preserve">R. Piratuba, 1187</t>
  </si>
  <si>
    <t xml:space="preserve">Saguacu</t>
  </si>
  <si>
    <t xml:space="preserve">casaderepousocuidar.com.br</t>
  </si>
  <si>
    <t xml:space="preserve">Casa de Repouso Feliz Idade</t>
  </si>
  <si>
    <t xml:space="preserve">R. Riachuelo, 123</t>
  </si>
  <si>
    <t xml:space="preserve">Bom Retiro</t>
  </si>
  <si>
    <t xml:space="preserve">(47) 3034-1818</t>
  </si>
  <si>
    <t xml:space="preserve">FlipChave</t>
  </si>
  <si>
    <t xml:space="preserve">R. Dona Francisca, 2948</t>
  </si>
  <si>
    <t xml:space="preserve">(47) 99788-0123</t>
  </si>
  <si>
    <t xml:space="preserve">contato@flipchave.com.br</t>
  </si>
  <si>
    <t xml:space="preserve">Casa Geriatrica Viver Mais Feliz</t>
  </si>
  <si>
    <t xml:space="preserve">R. Raul Pascoal Fernandes, 521</t>
  </si>
  <si>
    <t xml:space="preserve">Adhemar Garcia</t>
  </si>
  <si>
    <t xml:space="preserve">(47) 3426-3294</t>
  </si>
  <si>
    <t xml:space="preserve">Casa de Repouso Por do Sol</t>
  </si>
  <si>
    <t xml:space="preserve">R. Marechal Hermes, 754</t>
  </si>
  <si>
    <t xml:space="preserve">(47) 3207-2059</t>
  </si>
  <si>
    <t xml:space="preserve">Construtora Viplan</t>
  </si>
  <si>
    <t xml:space="preserve">R. Evaristo da Veiga, 343</t>
  </si>
  <si>
    <t xml:space="preserve">(47) 3205-0050</t>
  </si>
  <si>
    <t xml:space="preserve">(47) 98415-1340</t>
  </si>
  <si>
    <t xml:space="preserve">comercial@construtoraviplan.com.br</t>
  </si>
  <si>
    <t xml:space="preserve">Hostel Pousada Germanica</t>
  </si>
  <si>
    <t xml:space="preserve">8 quartos</t>
  </si>
  <si>
    <t xml:space="preserve">R. Wolfgang Amon, 437</t>
  </si>
  <si>
    <t xml:space="preserve">Costa e Silva</t>
  </si>
  <si>
    <t xml:space="preserve">(47) 98838-1755</t>
  </si>
  <si>
    <t xml:space="preserve">hostelpousadagermanica.com</t>
  </si>
  <si>
    <t xml:space="preserve">Joinville Hostel &amp; Pousada</t>
  </si>
  <si>
    <t xml:space="preserve">R. Dona Francisca, 1376</t>
  </si>
  <si>
    <t xml:space="preserve">(47) 3424-0844</t>
  </si>
  <si>
    <t xml:space="preserve">info@joinvillehostel.com.br</t>
  </si>
  <si>
    <t xml:space="preserve">Louros Apart Hotel</t>
  </si>
  <si>
    <t xml:space="preserve">(47) 3427-5656</t>
  </si>
  <si>
    <t xml:space="preserve">Pousada Bom Sossego</t>
  </si>
  <si>
    <t xml:space="preserve">9 quartos</t>
  </si>
  <si>
    <t xml:space="preserve">R. Francisco Gomes de Oliveira, 410</t>
  </si>
  <si>
    <t xml:space="preserve">(47) 98914-4439</t>
  </si>
  <si>
    <t xml:space="preserve">Pousada Saguacu (Saguacu Pousada Hotel)</t>
  </si>
  <si>
    <t xml:space="preserve">R. Guaratuba, 189</t>
  </si>
  <si>
    <t xml:space="preserve">(47) 3435-3747</t>
  </si>
  <si>
    <t xml:space="preserve">(47) 98855-3191</t>
  </si>
  <si>
    <t xml:space="preserve">Studio H Residence - studios de ate 40 m2</t>
  </si>
  <si>
    <t xml:space="preserve">R. Dona Francisca, 2851</t>
  </si>
  <si>
    <t xml:space="preserve">rooftop com piscina e academia</t>
  </si>
  <si>
    <t xml:space="preserve">Economica Joinville Hostel e Pousada</t>
  </si>
  <si>
    <t xml:space="preserve">R. Jose Gerard Rolim Filho, 259</t>
  </si>
  <si>
    <t xml:space="preserve">(47) 98488-9961</t>
  </si>
  <si>
    <t xml:space="preserve">Hostel Casa do Sol</t>
  </si>
  <si>
    <t xml:space="preserve">3 quartos</t>
  </si>
  <si>
    <t xml:space="preserve">R. Reporter Luiz Mauro, 64</t>
  </si>
  <si>
    <t xml:space="preserve">Iririu</t>
  </si>
  <si>
    <t xml:space="preserve">Hostel Cidade das Flores</t>
  </si>
  <si>
    <t xml:space="preserve">4 quartos</t>
  </si>
  <si>
    <t xml:space="preserve">Rua Manaus, 140</t>
  </si>
  <si>
    <t xml:space="preserve">Joinville</t>
  </si>
  <si>
    <t xml:space="preserve">(47) 99979-1951</t>
  </si>
  <si>
    <t xml:space="preserve">Hostel Mandallah</t>
  </si>
  <si>
    <t xml:space="preserve">R. Cecilio Ferreira, 186</t>
  </si>
  <si>
    <t xml:space="preserve">(47) 99931-2958</t>
  </si>
  <si>
    <t xml:space="preserve">Airbnb/Temporada</t>
  </si>
  <si>
    <t xml:space="preserve">Alugueis Prime</t>
  </si>
  <si>
    <t xml:space="preserve">verificar</t>
  </si>
  <si>
    <t xml:space="preserve">alugueisprime.com.br</t>
  </si>
  <si>
    <t xml:space="preserve">Otto House (Tina Marcato)</t>
  </si>
  <si>
    <t xml:space="preserve">(47) 99984-1352</t>
  </si>
  <si>
    <t xml:space="preserve">tina@ottohouse.com.br</t>
  </si>
  <si>
    <t xml:space="preserve">Anfitriao Prime</t>
  </si>
  <si>
    <t xml:space="preserve">Nacional/Joinville</t>
  </si>
  <si>
    <t xml:space="preserve">anfitriaoprime.com.br</t>
  </si>
  <si>
    <t xml:space="preserve">B.Homy - gestao de Airbnb</t>
  </si>
  <si>
    <t xml:space="preserve">Atua em SC</t>
  </si>
  <si>
    <t xml:space="preserve">bhomy.com</t>
  </si>
  <si>
    <t xml:space="preserve">Anfitrioes Gestao de Imoveis</t>
  </si>
  <si>
    <t xml:space="preserve">Atua em Joinville</t>
  </si>
  <si>
    <t xml:space="preserve">anfitrioesgestaodeimoveis.com</t>
  </si>
  <si>
    <t xml:space="preserve">Hostel Urbano Joinville</t>
  </si>
  <si>
    <t xml:space="preserve">5 suites</t>
  </si>
  <si>
    <t xml:space="preserve">hosteljoinville.com.br</t>
  </si>
  <si>
    <t xml:space="preserve">HotelSmart (124 studios mobiliados - em obra)</t>
  </si>
  <si>
    <t xml:space="preserve">endereco a confirmar</t>
  </si>
  <si>
    <t xml:space="preserve">FlipChave + Convisa - obra desde jan/2026</t>
  </si>
  <si>
    <t xml:space="preserve">Preencha as colunas amarelas com o que você achar nos anúncios. O telefone NÃO aparece no Airbnb — veja a aba Como usar. A linha 3 é só um exemplo: apague antes de usar.</t>
  </si>
  <si>
    <t xml:space="preserve">Anúncio (título)</t>
  </si>
  <si>
    <t xml:space="preserve">Prédio</t>
  </si>
  <si>
    <t xml:space="preserve">Anfitrião</t>
  </si>
  <si>
    <t xml:space="preserve">Nº de anúncios do anfitrião</t>
  </si>
  <si>
    <t xml:space="preserve">Link do anúncio</t>
  </si>
  <si>
    <t xml:space="preserve">Telefone (quando achar)</t>
  </si>
  <si>
    <t xml:space="preserve">Onde achou o telefone</t>
  </si>
  <si>
    <t xml:space="preserve">Telefone (dígitos)</t>
  </si>
  <si>
    <t xml:space="preserve">Tipo</t>
  </si>
  <si>
    <t xml:space="preserve">Estúdio 08</t>
  </si>
  <si>
    <t xml:space="preserve">a localizar (studios numerados 01 a 08)</t>
  </si>
  <si>
    <t xml:space="preserve">Sergio</t>
  </si>
  <si>
    <t xml:space="preserve">https://www.airbnb.com.br/rooms/...</t>
  </si>
  <si>
    <t xml:space="preserve">(47) 90000-0000</t>
  </si>
  <si>
    <t xml:space="preserve">Instagram do prédio</t>
  </si>
  <si>
    <t xml:space="preserve">chave</t>
  </si>
  <si>
    <t xml:space="preserve">tipo de cliente</t>
  </si>
  <si>
    <t xml:space="preserve">canal</t>
  </si>
  <si>
    <t xml:space="preserve">texto da mensagem</t>
  </si>
  <si>
    <t xml:space="preserve">Pousada e hostel de até 10 quartos</t>
  </si>
  <si>
    <t xml:space="preserve">WhatsApp</t>
  </si>
  <si>
    <t xml:space="preserve">Bom dia, [nome]! Aqui é o Luis Carlos, da lavanderia do Posto Zandoná, na Ottokar Doerffel, 1489.
É autosserviço — vocês mesmos usam as máquinas — mas são industriais: o enxoval de uma diária inteira vai de uma vez e sai seco na secadora em cerca de uma hora. Nada de lençol pendurado três dias no inverno.
Abrimos das 6h às 22h, com estacionamento na porta. E para empresa eu faturo no mês, com nota.
Queria te dar a primeira lavagem por conta da casa, pra vocês medirem quanto tempo economiza. Posso deixar o cupom aí?</t>
  </si>
  <si>
    <t xml:space="preserve">anfitriao</t>
  </si>
  <si>
    <t xml:space="preserve">Anfitrião de Airbnb / dono de 2 a 5 studios</t>
  </si>
  <si>
    <t xml:space="preserve">WhatsApp · use quando encontrar o anfitrião</t>
  </si>
  <si>
    <t xml:space="preserve">Oi, [nome]! Sou o Luis Carlos, da lavanderia do Posto Zandoná, na Ottokar Doerffel, 1489.
Já tem anfitrião aqui do bairro usando a gente pra virar apartamento: traz o enxoval de todas as unidades de uma vez, usa duas ou três máquinas ao mesmo tempo, e em cerca de uma hora sai com tudo lavado e seco.
É autosserviço, então você não depende de prazo de lavanderia nem de ninguém: entra, lava, seca e leva. Das 6h às 22h, estacionamento na porta — e dá pra abastecer ou lavar o carro na mesma parada.
A primeira lavagem é por minha conta. Quer testar na próxima virada?</t>
  </si>
  <si>
    <t xml:space="preserve">Zelador ou síndico de prédio de studios</t>
  </si>
  <si>
    <t xml:space="preserve">Presencial</t>
  </si>
  <si>
    <t xml:space="preserve">Bom dia! Sou o Luis Carlos, da lavanderia do Posto Zandoná, aqui na Ottokar Doerffel, 1489 — pertinho do prédio.
É autosserviço com máquina industrial, das 6h às 22h. O que mais traz morador daqui é edredom, cobertor e tapete, que não entram na máquina de apartamento.
Vi que o [nome] tem bastante studio alugado por temporada, e esse pessoal vira enxoval toda semana.
Posso deixar cupons de primeira lavagem grátis na portaria pros moradores, e um cartaz pequeno no mural se o síndico autorizar?</t>
  </si>
  <si>
    <t xml:space="preserve">Administradora e co-host de temporada</t>
  </si>
  <si>
    <t xml:space="preserve">Bom dia, [nome]. Sou o Luis Carlos, da lavanderia do Posto Zandoná (Ottokar Doerffel, 1489, Anita Garibaldi).
Autosserviço com máquinas industriais: a equipe de limpeza de vocês resolve o enxoval de vários imóveis numa parada só — lava e seca em cerca de uma hora, das 6h às 22h, com estacionamento na porta.
Pra quem administra carteira eu abro conta faturada: a equipe usa as máquinas o mês todo e vocês recebem uma nota só no fechamento, sem ninguém pagando do próprio bolso e pedindo reembolso depois.
Topa testar com um imóvel? A primeira lavagem é por minha conta.</t>
  </si>
  <si>
    <t xml:space="preserve">Construtora e incorporadora</t>
  </si>
  <si>
    <t xml:space="preserve">WhatsApp ou e-mail</t>
  </si>
  <si>
    <t xml:space="preserve">Bom dia. Sou o Luis Carlos, da lavanderia do Posto Zandoná, na Ottokar Doerffel, 1489 — a poucos minutos de vocês.
Vocês entregam bastante unidade compacta de investidor, e quem coloca o imóvel pra temporada esbarra sempre no mesmo ponto: studio não tem área de serviço, e lençol de hóspede não seca dentro de apartamento.
Queria propor que a gente entre no kit de entrega de chaves: cupom de primeira lavagem grátis pro comprador e condição fixa pros proprietários do empreendimento, sem custo nenhum pra construtora.
Consigo 15 minutos com quem cuida do relacionamento com os compradores?</t>
  </si>
  <si>
    <t xml:space="preserve">Convention &amp; Visitors Bureau</t>
  </si>
  <si>
    <t xml:space="preserve">Ligação ou e-mail</t>
  </si>
  <si>
    <t xml:space="preserve">Bom dia. Sou o Luis Carlos, da lavanderia do Posto Zandoná, na Ottokar Doerffel, 1489 — somos quase vizinhos de vocês, no 1733.
Somos autosserviço com máquinas industriais, das 6h às 22h, e atendemos pousada e hostel pequeno da região central.
Queria entender como funciona a relação de vocês com os associados e se cabe uma condição para a rede — pensando no pico do Festival de Dança, quando pousada pequena estoura a capacidade de lavar e precisa de uma válvula de escape perto.
Consigo uma conversa de 20 minutos esta semana?</t>
  </si>
  <si>
    <t xml:space="preserve">Lar de idosos e casa de repouso</t>
  </si>
  <si>
    <t xml:space="preserve">Ligação para a administração</t>
  </si>
  <si>
    <t xml:space="preserve">Bom dia, eu gostaria de falar com a administração, por favor.
Somos a lavanderia do Posto Zandoná, na Ottokar Doerffel. Autosserviço com máquinas industriais, das 6h às 22h, e trabalhamos com conta faturada mensal e nota fiscal para instituições.
A ideia é simples: em vez de manter máquina doméstica rodando o dia inteiro, a funcionária traz o enxoval duas ou três vezes por semana e resolve tudo de uma vez — inclusive cobertor e edredom, que é o que mais trava lavanderia interna no inverno.
Posso passar os valores pra vocês compararem com o custo cheio de lavar internamente: energia, água, produto, manutenção da máquina e as horas da funcionária?</t>
  </si>
  <si>
    <t xml:space="preserve">Pet shop e banho e tosa</t>
  </si>
  <si>
    <t xml:space="preserve">Oi, tudo bem? Sou o Luis Carlos, da lavanderia aqui do Posto Zandoná, na Ottokar Doerffel — a poucos minutos daqui.
Autosserviço, com máquina e secadora industrial. Pra banho e tosa o ganho é a secadora: a toalha sai seca na hora, não fica aquele monte pendurado esperando e azedando.
Abrimos às 6h, dá pra resolver antes de abrir a loja, e tem estacionamento na porta.
Primeira lavagem por minha conta — quer que eu deixe o cupom aqui?</t>
  </si>
  <si>
    <t xml:space="preserve">Presencial, com o responsável</t>
  </si>
  <si>
    <t xml:space="preserve">Oi, posso falar com o responsável? Sou o Luis Carlos, da lavanderia do Posto Zandoná, na Ottokar Doerffel, 1489.
Autosserviço com máquinas industriais, das 6h às 22h — pega antes de abrir e depois de fechar. Pano de copa, avental e toalha de mesa lavam e secam numa parada só.
O que costuma resolver é não depender mais de alguém levar pra lavar em casa no fim de semana. E pra empresa eu faturo no mês, com nota.
Quer testar com a primeira lavagem por minha conta?</t>
  </si>
  <si>
    <t xml:space="preserve">Barbearia, salão e estética</t>
  </si>
  <si>
    <t xml:space="preserve">Oi, tudo bem? Sou o Luis Carlos, da lavanderia do Posto Zandoná, aqui na Ottokar Doerffel.
Autosserviço com máquina e secadora industrial. Pra salão o ponto é a secadora: toalha que seca no varal fica dura e com cheiro de úmido; na secadora volta macia no mesmo dia.
É uma parada de uma hora por semana, e ninguém da equipe precisa levar sacola pra casa.
Deixo a primeira lavagem por minha conta pra você comparar. Pode ser?</t>
  </si>
  <si>
    <t xml:space="preserve">Academia e estúdio</t>
  </si>
  <si>
    <t xml:space="preserve">Oi! Sou o Luis Carlos, da lavanderia do Posto Zandoná, aqui na Ottokar Doerffel.
Autosserviço com máquina e secadora industrial: toalha de treino e pano de higienização lavam e secam numa parada só — sem máquina rodando no intervalo e sem ninguém da recepção cuidando disso.
Das 6h às 22h, com estacionamento na porta.
Primeira lavagem por minha conta pra você ver o resultado. Quando fica bom testar?</t>
  </si>
</sst>
</file>

<file path=xl/styles.xml><?xml version="1.0" encoding="utf-8"?>
<styleSheet xmlns="http://schemas.openxmlformats.org/spreadsheetml/2006/main">
  <numFmts count="1">
    <numFmt numFmtId="164" formatCode="General"/>
  </numFmts>
  <fonts count="11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4"/>
      <color rgb="FF0E4F4E"/>
      <name val="Arial"/>
      <family val="0"/>
      <charset val="1"/>
    </font>
    <font>
      <sz val="9"/>
      <color rgb="FF59635E"/>
      <name val="Arial"/>
      <family val="0"/>
      <charset val="1"/>
    </font>
    <font>
      <sz val="10"/>
      <name val="Arial"/>
      <family val="0"/>
      <charset val="1"/>
    </font>
    <font>
      <b val="true"/>
      <sz val="11"/>
      <color rgb="FF0E4F4E"/>
      <name val="Arial"/>
      <family val="0"/>
      <charset val="1"/>
    </font>
    <font>
      <b val="true"/>
      <sz val="10"/>
      <color rgb="FF9A6006"/>
      <name val="Arial"/>
      <family val="0"/>
      <charset val="1"/>
    </font>
    <font>
      <b val="true"/>
      <sz val="10"/>
      <color rgb="FFFFFFFF"/>
      <name val="Arial"/>
      <family val="0"/>
      <charset val="1"/>
    </font>
    <font>
      <u val="single"/>
      <sz val="10"/>
      <color rgb="FF0E4F4E"/>
      <name val="Arial"/>
      <family val="0"/>
      <charset val="1"/>
    </font>
  </fonts>
  <fills count="5">
    <fill>
      <patternFill patternType="none"/>
    </fill>
    <fill>
      <patternFill patternType="gray125"/>
    </fill>
    <fill>
      <patternFill patternType="solid">
        <fgColor rgb="FF0E4F4E"/>
        <bgColor rgb="FF333333"/>
      </patternFill>
    </fill>
    <fill>
      <patternFill patternType="solid">
        <fgColor rgb="FFFFF2CC"/>
        <bgColor rgb="FFEAF2F1"/>
      </patternFill>
    </fill>
    <fill>
      <patternFill patternType="solid">
        <fgColor rgb="FFEAF2F1"/>
        <bgColor rgb="FFFFFFFF"/>
      </patternFill>
    </fill>
  </fills>
  <borders count="2">
    <border diagonalUp="false" diagonalDown="false">
      <left/>
      <right/>
      <top/>
      <bottom/>
      <diagonal/>
    </border>
    <border diagonalUp="false" diagonalDown="false">
      <left/>
      <right/>
      <top/>
      <bottom style="thin">
        <color rgb="FFD3D8D1"/>
      </bottom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13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5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6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7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8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9" fillId="2" borderId="0" xfId="0" applyFont="true" applyBorder="false" applyAlignment="true" applyProtection="false">
      <alignment horizontal="general" vertical="top" textRotation="0" wrapText="true" indent="0" shrinkToFit="false"/>
      <protection locked="true" hidden="false"/>
    </xf>
    <xf numFmtId="164" fontId="6" fillId="0" borderId="1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4" fontId="10" fillId="0" borderId="1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4" fontId="6" fillId="3" borderId="1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4" fontId="8" fillId="0" borderId="0" xfId="0" applyFont="true" applyBorder="true" applyAlignment="true" applyProtection="false">
      <alignment horizontal="general" vertical="center" textRotation="0" wrapText="true" indent="0" shrinkToFit="false"/>
      <protection locked="true" hidden="false"/>
    </xf>
    <xf numFmtId="164" fontId="6" fillId="4" borderId="1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4" fontId="6" fillId="3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dxfs count="4">
    <dxf>
      <fill>
        <patternFill patternType="solid">
          <fgColor rgb="FF0E4F4E"/>
          <bgColor rgb="FF000000"/>
        </patternFill>
      </fill>
    </dxf>
    <dxf>
      <fill>
        <patternFill patternType="solid">
          <bgColor rgb="FF000000"/>
        </patternFill>
      </fill>
    </dxf>
    <dxf>
      <fill>
        <patternFill patternType="solid">
          <fgColor rgb="FFFFFFFF"/>
          <bgColor rgb="FF000000"/>
        </patternFill>
      </fill>
    </dxf>
    <dxf>
      <fill>
        <patternFill patternType="solid">
          <fgColor rgb="FFFFF2CC"/>
          <bgColor rgb="FF000000"/>
        </patternFill>
      </fill>
    </dxf>
  </dxf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9A6006"/>
      <rgbColor rgb="FF800080"/>
      <rgbColor rgb="FF008080"/>
      <rgbColor rgb="FFC0C0C0"/>
      <rgbColor rgb="FF808080"/>
      <rgbColor rgb="FF9999FF"/>
      <rgbColor rgb="FF993366"/>
      <rgbColor rgb="FFFFF2CC"/>
      <rgbColor rgb="FFEAF2F1"/>
      <rgbColor rgb="FF660066"/>
      <rgbColor rgb="FFFF8080"/>
      <rgbColor rgb="FF0066CC"/>
      <rgbColor rgb="FFD3D8D1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59635E"/>
      <rgbColor rgb="FF969696"/>
      <rgbColor rgb="FF0E4F4E"/>
      <rgbColor rgb="FF339966"/>
      <rgbColor rgb="FF003300"/>
      <rgbColor rgb="FF333300"/>
      <rgbColor rgb="FF993300"/>
      <rgbColor rgb="FF993366"/>
      <rgbColor rgb="FF333399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worksheet" Target="worksheets/sheet3.xml"/><Relationship Id="rId6" Type="http://schemas.openxmlformats.org/officeDocument/2006/relationships/worksheet" Target="worksheets/sheet4.xml"/><Relationship Id="rId7" Type="http://schemas.openxmlformats.org/officeDocument/2006/relationships/sharedStrings" Target="sharedStrings.xml"/>
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/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_rels/sheet2.xml.rels><?xml version="1.0" encoding="UTF-8"?>
<Relationships xmlns="http://schemas.openxmlformats.org/package/2006/relationships"><Relationship Id="rId1" Type="http://schemas.openxmlformats.org/officeDocument/2006/relationships/drawing" Target="../drawings/drawing1.xm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A27"/>
  <sheetViews>
    <sheetView showFormulas="false" showGridLines="fals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120"/>
  </cols>
  <sheetData>
    <row r="1" customFormat="false" ht="17.35" hidden="false" customHeight="false" outlineLevel="0" collapsed="false">
      <c r="A1" s="1" t="s">
        <v>0</v>
      </c>
    </row>
    <row r="2" customFormat="false" ht="15" hidden="false" customHeight="false" outlineLevel="0" collapsed="false">
      <c r="A2" s="2" t="s">
        <v>1</v>
      </c>
    </row>
    <row r="3" customFormat="false" ht="15" hidden="false" customHeight="false" outlineLevel="0" collapsed="false">
      <c r="A3" s="3"/>
    </row>
    <row r="4" customFormat="false" ht="15" hidden="false" customHeight="false" outlineLevel="0" collapsed="false">
      <c r="A4" s="4" t="s">
        <v>2</v>
      </c>
    </row>
    <row r="5" customFormat="false" ht="15" hidden="false" customHeight="false" outlineLevel="0" collapsed="false">
      <c r="A5" s="3" t="s">
        <v>3</v>
      </c>
    </row>
    <row r="6" customFormat="false" ht="15" hidden="false" customHeight="false" outlineLevel="0" collapsed="false">
      <c r="A6" s="3" t="s">
        <v>4</v>
      </c>
    </row>
    <row r="7" customFormat="false" ht="15" hidden="false" customHeight="false" outlineLevel="0" collapsed="false">
      <c r="A7" s="3" t="s">
        <v>5</v>
      </c>
    </row>
    <row r="8" customFormat="false" ht="15" hidden="false" customHeight="false" outlineLevel="0" collapsed="false">
      <c r="A8" s="3"/>
    </row>
    <row r="9" customFormat="false" ht="15" hidden="false" customHeight="false" outlineLevel="0" collapsed="false">
      <c r="A9" s="4" t="s">
        <v>6</v>
      </c>
    </row>
    <row r="10" customFormat="false" ht="15" hidden="false" customHeight="false" outlineLevel="0" collapsed="false">
      <c r="A10" s="3" t="s">
        <v>7</v>
      </c>
    </row>
    <row r="11" customFormat="false" ht="15" hidden="false" customHeight="false" outlineLevel="0" collapsed="false">
      <c r="A11" s="3" t="s">
        <v>8</v>
      </c>
    </row>
    <row r="12" customFormat="false" ht="15" hidden="false" customHeight="false" outlineLevel="0" collapsed="false">
      <c r="A12" s="3" t="s">
        <v>9</v>
      </c>
    </row>
    <row r="13" customFormat="false" ht="15" hidden="false" customHeight="false" outlineLevel="0" collapsed="false">
      <c r="A13" s="3"/>
    </row>
    <row r="14" customFormat="false" ht="15" hidden="false" customHeight="false" outlineLevel="0" collapsed="false">
      <c r="A14" s="4" t="s">
        <v>10</v>
      </c>
    </row>
    <row r="15" customFormat="false" ht="15" hidden="false" customHeight="false" outlineLevel="0" collapsed="false">
      <c r="A15" s="3" t="s">
        <v>11</v>
      </c>
    </row>
    <row r="16" customFormat="false" ht="15" hidden="false" customHeight="false" outlineLevel="0" collapsed="false">
      <c r="A16" s="3" t="s">
        <v>12</v>
      </c>
    </row>
    <row r="17" customFormat="false" ht="15" hidden="false" customHeight="false" outlineLevel="0" collapsed="false">
      <c r="A17" s="3" t="s">
        <v>13</v>
      </c>
    </row>
    <row r="18" customFormat="false" ht="15" hidden="false" customHeight="false" outlineLevel="0" collapsed="false">
      <c r="A18" s="3" t="s">
        <v>14</v>
      </c>
    </row>
    <row r="19" customFormat="false" ht="15" hidden="false" customHeight="false" outlineLevel="0" collapsed="false">
      <c r="A19" s="3" t="s">
        <v>15</v>
      </c>
    </row>
    <row r="20" customFormat="false" ht="15" hidden="false" customHeight="false" outlineLevel="0" collapsed="false">
      <c r="A20" s="3" t="s">
        <v>16</v>
      </c>
    </row>
    <row r="21" customFormat="false" ht="15" hidden="false" customHeight="false" outlineLevel="0" collapsed="false">
      <c r="A21" s="3" t="s">
        <v>17</v>
      </c>
    </row>
    <row r="22" customFormat="false" ht="15" hidden="false" customHeight="false" outlineLevel="0" collapsed="false">
      <c r="A22" s="3" t="s">
        <v>18</v>
      </c>
    </row>
    <row r="23" customFormat="false" ht="15" hidden="false" customHeight="false" outlineLevel="0" collapsed="false">
      <c r="A23" s="3"/>
    </row>
    <row r="24" customFormat="false" ht="15" hidden="false" customHeight="false" outlineLevel="0" collapsed="false">
      <c r="A24" s="5" t="s">
        <v>19</v>
      </c>
    </row>
    <row r="25" customFormat="false" ht="15" hidden="false" customHeight="false" outlineLevel="0" collapsed="false">
      <c r="A25" s="3"/>
    </row>
    <row r="26" customFormat="false" ht="15" hidden="false" customHeight="false" outlineLevel="0" collapsed="false">
      <c r="A26" s="2" t="s">
        <v>20</v>
      </c>
    </row>
    <row r="27" customFormat="false" ht="15" hidden="false" customHeight="false" outlineLevel="0" collapsed="false">
      <c r="A27" s="2" t="s">
        <v>21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R63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3" ySplit="1" topLeftCell="D2" activePane="bottomRight" state="frozen"/>
      <selection pane="topLeft" activeCell="A1" activeCellId="0" sqref="A1"/>
      <selection pane="topRight" activeCell="D1" activeCellId="0" sqref="D1"/>
      <selection pane="bottomLeft" activeCell="A2" activeCellId="0" sqref="A2"/>
      <selection pane="bottomRigh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9"/>
    <col collapsed="false" customWidth="true" hidden="false" outlineLevel="0" max="2" min="2" style="0" width="19"/>
    <col collapsed="false" customWidth="true" hidden="false" outlineLevel="0" max="3" min="3" style="0" width="36"/>
    <col collapsed="false" customWidth="true" hidden="false" outlineLevel="0" max="4" min="4" style="0" width="15"/>
    <col collapsed="false" customWidth="true" hidden="false" outlineLevel="0" max="5" min="5" style="0" width="34"/>
    <col collapsed="false" customWidth="true" hidden="false" outlineLevel="0" max="6" min="6" style="0" width="18"/>
    <col collapsed="false" customWidth="true" hidden="false" outlineLevel="0" max="7" min="7" style="0" width="15"/>
    <col collapsed="false" customWidth="true" hidden="false" outlineLevel="0" max="9" min="8" style="0" width="17"/>
    <col collapsed="false" customWidth="true" hidden="false" outlineLevel="0" max="10" min="10" style="0" width="30"/>
    <col collapsed="false" customWidth="true" hidden="false" outlineLevel="0" max="11" min="11" style="0" width="13"/>
    <col collapsed="false" customWidth="true" hidden="false" outlineLevel="0" max="13" min="12" style="0" width="14"/>
    <col collapsed="false" customWidth="true" hidden="false" outlineLevel="0" max="14" min="14" style="0" width="16"/>
    <col collapsed="false" customWidth="true" hidden="false" outlineLevel="0" max="15" min="15" style="0" width="15"/>
    <col collapsed="false" customWidth="true" hidden="false" outlineLevel="0" max="16" min="16" style="0" width="78"/>
    <col collapsed="false" customWidth="true" hidden="false" outlineLevel="0" max="17" min="17" style="0" width="16"/>
    <col collapsed="false" customWidth="true" hidden="false" outlineLevel="0" max="18" min="18" style="0" width="32"/>
  </cols>
  <sheetData>
    <row r="1" customFormat="false" ht="23.85" hidden="false" customHeight="false" outlineLevel="0" collapsed="false">
      <c r="A1" s="6" t="s">
        <v>22</v>
      </c>
      <c r="B1" s="6" t="s">
        <v>23</v>
      </c>
      <c r="C1" s="6" t="s">
        <v>24</v>
      </c>
      <c r="D1" s="6" t="s">
        <v>25</v>
      </c>
      <c r="E1" s="6" t="s">
        <v>26</v>
      </c>
      <c r="F1" s="6" t="s">
        <v>27</v>
      </c>
      <c r="G1" s="6" t="s">
        <v>28</v>
      </c>
      <c r="H1" s="6" t="s">
        <v>29</v>
      </c>
      <c r="I1" s="6" t="s">
        <v>30</v>
      </c>
      <c r="J1" s="6" t="s">
        <v>31</v>
      </c>
      <c r="K1" s="6" t="s">
        <v>32</v>
      </c>
      <c r="L1" s="6" t="s">
        <v>33</v>
      </c>
      <c r="M1" s="6" t="s">
        <v>34</v>
      </c>
      <c r="N1" s="6" t="s">
        <v>35</v>
      </c>
      <c r="O1" s="6" t="s">
        <v>36</v>
      </c>
      <c r="P1" s="6" t="s">
        <v>37</v>
      </c>
      <c r="Q1" s="6" t="s">
        <v>38</v>
      </c>
      <c r="R1" s="6" t="s">
        <v>39</v>
      </c>
    </row>
    <row r="2" customFormat="false" ht="55.5" hidden="false" customHeight="true" outlineLevel="0" collapsed="false">
      <c r="A2" s="7" t="s">
        <v>40</v>
      </c>
      <c r="B2" s="7" t="s">
        <v>41</v>
      </c>
      <c r="C2" s="7" t="s">
        <v>42</v>
      </c>
      <c r="D2" s="7"/>
      <c r="E2" s="7" t="s">
        <v>43</v>
      </c>
      <c r="F2" s="7" t="s">
        <v>44</v>
      </c>
      <c r="G2" s="7" t="s">
        <v>45</v>
      </c>
      <c r="H2" s="7" t="s">
        <v>46</v>
      </c>
      <c r="I2" s="7"/>
      <c r="J2" s="7"/>
      <c r="K2" s="7" t="s">
        <v>47</v>
      </c>
      <c r="L2" s="7" t="str">
        <f aca="false">SUBSTITUTE(SUBSTITUTE(SUBSTITUTE(SUBSTITUTE($H2,"(",""),")","")," ",""),"-","")</f>
        <v>47999451884</v>
      </c>
      <c r="M2" s="7" t="str">
        <f aca="false">SUBSTITUTE(SUBSTITUTE(SUBSTITUTE(SUBSTITUTE($I2,"(",""),")","")," ",""),"-","")</f>
        <v/>
      </c>
      <c r="N2" s="7" t="str">
        <f aca="false">IF(LEN($L2)=11,$L2,IF(LEN($M2)=11,$M2,""))</f>
        <v>47999451884</v>
      </c>
      <c r="O2" s="8" t="str">
        <f aca="false">IF($N2="","",HYPERLINK("https://wa.me/55"&amp;$N2,"Abrir conversa"))</f>
        <v>Abrir conversa</v>
      </c>
      <c r="P2" s="7" t="str">
        <f aca="false">SUBSTITUTE(INDEX(Mensagens!$D$2:$D$12,MATCH($K2,Mensagens!$A$2:$A$12,0)),"[nome]",$C2)</f>
        <v>Oi, tudo bem? Sou o Luis Carlos, da lavanderia do Posto Zandoná, aqui na Ottokar Doerffel.
Autosserviço com máquina e secadora industrial. Pra salão o ponto é a secadora: toalha que seca no varal fica dura e com cheiro de úmido; na secadora volta macia no mesmo dia.
É uma parada de uma hora por semana, e ninguém da equipe precisa levar sacola pra casa.
Deixo a primeira lavagem por minha conta pra você comparar. Pode ser?</v>
      </c>
      <c r="Q2" s="9" t="s">
        <v>48</v>
      </c>
      <c r="R2" s="9"/>
    </row>
    <row r="3" customFormat="false" ht="55.5" hidden="false" customHeight="true" outlineLevel="0" collapsed="false">
      <c r="A3" s="7" t="s">
        <v>40</v>
      </c>
      <c r="B3" s="7" t="s">
        <v>41</v>
      </c>
      <c r="C3" s="7" t="s">
        <v>49</v>
      </c>
      <c r="D3" s="7"/>
      <c r="E3" s="7" t="s">
        <v>50</v>
      </c>
      <c r="F3" s="7" t="s">
        <v>51</v>
      </c>
      <c r="G3" s="7" t="s">
        <v>45</v>
      </c>
      <c r="H3" s="7"/>
      <c r="I3" s="7"/>
      <c r="J3" s="7"/>
      <c r="K3" s="7" t="s">
        <v>47</v>
      </c>
      <c r="L3" s="7" t="str">
        <f aca="false">SUBSTITUTE(SUBSTITUTE(SUBSTITUTE(SUBSTITUTE($H3,"(",""),")","")," ",""),"-","")</f>
        <v/>
      </c>
      <c r="M3" s="7" t="str">
        <f aca="false">SUBSTITUTE(SUBSTITUTE(SUBSTITUTE(SUBSTITUTE($I3,"(",""),")","")," ",""),"-","")</f>
        <v/>
      </c>
      <c r="N3" s="7" t="str">
        <f aca="false">IF(LEN($L3)=11,$L3,IF(LEN($M3)=11,$M3,""))</f>
        <v/>
      </c>
      <c r="O3" s="8" t="str">
        <f aca="false">IF($N3="","",HYPERLINK("https://wa.me/55"&amp;$N3,"Abrir conversa"))</f>
        <v/>
      </c>
      <c r="P3" s="7" t="str">
        <f aca="false">SUBSTITUTE(INDEX(Mensagens!$D$2:$D$12,MATCH($K3,Mensagens!$A$2:$A$12,0)),"[nome]",$C3)</f>
        <v>Oi, tudo bem? Sou o Luis Carlos, da lavanderia do Posto Zandoná, aqui na Ottokar Doerffel.
Autosserviço com máquina e secadora industrial. Pra salão o ponto é a secadora: toalha que seca no varal fica dura e com cheiro de úmido; na secadora volta macia no mesmo dia.
É uma parada de uma hora por semana, e ninguém da equipe precisa levar sacola pra casa.
Deixo a primeira lavagem por minha conta pra você comparar. Pode ser?</v>
      </c>
      <c r="Q3" s="9" t="s">
        <v>48</v>
      </c>
      <c r="R3" s="9"/>
    </row>
    <row r="4" customFormat="false" ht="55.5" hidden="false" customHeight="true" outlineLevel="0" collapsed="false">
      <c r="A4" s="7" t="s">
        <v>40</v>
      </c>
      <c r="B4" s="7" t="s">
        <v>52</v>
      </c>
      <c r="C4" s="7" t="s">
        <v>53</v>
      </c>
      <c r="D4" s="7"/>
      <c r="E4" s="7" t="s">
        <v>54</v>
      </c>
      <c r="F4" s="7" t="s">
        <v>44</v>
      </c>
      <c r="G4" s="7" t="s">
        <v>45</v>
      </c>
      <c r="H4" s="7" t="s">
        <v>55</v>
      </c>
      <c r="I4" s="7"/>
      <c r="J4" s="7"/>
      <c r="K4" s="7" t="s">
        <v>56</v>
      </c>
      <c r="L4" s="7" t="str">
        <f aca="false">SUBSTITUTE(SUBSTITUTE(SUBSTITUTE(SUBSTITUTE($H4,"(",""),")","")," ",""),"-","")</f>
        <v>4734292031</v>
      </c>
      <c r="M4" s="7" t="str">
        <f aca="false">SUBSTITUTE(SUBSTITUTE(SUBSTITUTE(SUBSTITUTE($I4,"(",""),")","")," ",""),"-","")</f>
        <v/>
      </c>
      <c r="N4" s="7" t="str">
        <f aca="false">IF(LEN($L4)=11,$L4,IF(LEN($M4)=11,$M4,""))</f>
        <v/>
      </c>
      <c r="O4" s="8" t="str">
        <f aca="false">IF($N4="","",HYPERLINK("https://wa.me/55"&amp;$N4,"Abrir conversa"))</f>
        <v/>
      </c>
      <c r="P4" s="7" t="str">
        <f aca="false">SUBSTITUTE(INDEX(Mensagens!$D$2:$D$12,MATCH($K4,Mensagens!$A$2:$A$12,0)),"[nome]",$C4)</f>
        <v>Oi! Sou o Luis Carlos, da lavanderia do Posto Zandoná, aqui na Ottokar Doerffel.
Autosserviço com máquina e secadora industrial: toalha de treino e pano de higienização lavam e secam numa parada só — sem máquina rodando no intervalo e sem ninguém da recepção cuidando disso.
Das 6h às 22h, com estacionamento na porta.
Primeira lavagem por minha conta pra você ver o resultado. Quando fica bom testar?</v>
      </c>
      <c r="Q4" s="9" t="s">
        <v>48</v>
      </c>
      <c r="R4" s="9"/>
    </row>
    <row r="5" customFormat="false" ht="55.5" hidden="false" customHeight="true" outlineLevel="0" collapsed="false">
      <c r="A5" s="7" t="s">
        <v>40</v>
      </c>
      <c r="B5" s="7" t="s">
        <v>57</v>
      </c>
      <c r="C5" s="7" t="s">
        <v>58</v>
      </c>
      <c r="D5" s="7"/>
      <c r="E5" s="7" t="s">
        <v>59</v>
      </c>
      <c r="F5" s="7" t="s">
        <v>51</v>
      </c>
      <c r="G5" s="7" t="s">
        <v>45</v>
      </c>
      <c r="H5" s="7" t="s">
        <v>60</v>
      </c>
      <c r="I5" s="7"/>
      <c r="J5" s="7" t="s">
        <v>61</v>
      </c>
      <c r="K5" s="7" t="s">
        <v>62</v>
      </c>
      <c r="L5" s="7" t="str">
        <f aca="false">SUBSTITUTE(SUBSTITUTE(SUBSTITUTE(SUBSTITUTE($H5,"(",""),")","")," ",""),"-","")</f>
        <v>4730324400</v>
      </c>
      <c r="M5" s="7" t="str">
        <f aca="false">SUBSTITUTE(SUBSTITUTE(SUBSTITUTE(SUBSTITUTE($I5,"(",""),")","")," ",""),"-","")</f>
        <v/>
      </c>
      <c r="N5" s="7" t="str">
        <f aca="false">IF(LEN($L5)=11,$L5,IF(LEN($M5)=11,$M5,""))</f>
        <v/>
      </c>
      <c r="O5" s="8" t="str">
        <f aca="false">IF($N5="","",HYPERLINK("https://wa.me/55"&amp;$N5,"Abrir conversa"))</f>
        <v/>
      </c>
      <c r="P5" s="7" t="str">
        <f aca="false">SUBSTITUTE(INDEX(Mensagens!$D$2:$D$12,MATCH($K5,Mensagens!$A$2:$A$12,0)),"[nome]",$C5)</f>
        <v>Bom dia. Sou o Luis Carlos, da lavanderia do Posto Zandoná, na Ottokar Doerffel, 1489 — a poucos minutos de vocês.
Vocês entregam bastante unidade compacta de investidor, e quem coloca o imóvel pra temporada esbarra sempre no mesmo ponto: studio não tem área de serviço, e lençol de hóspede não seca dentro de apartamento.
Queria propor que a gente entre no kit de entrega de chaves: cupom de primeira lavagem grátis pro comprador e condição fixa pros proprietários do empreendimento, sem custo nenhum pra construtora.
Consigo 15 minutos com quem cuida do relacionamento com os compradores?</v>
      </c>
      <c r="Q5" s="9" t="s">
        <v>48</v>
      </c>
      <c r="R5" s="9"/>
    </row>
    <row r="6" customFormat="false" ht="55.5" hidden="false" customHeight="true" outlineLevel="0" collapsed="false">
      <c r="A6" s="7" t="s">
        <v>40</v>
      </c>
      <c r="B6" s="7" t="s">
        <v>63</v>
      </c>
      <c r="C6" s="7" t="s">
        <v>64</v>
      </c>
      <c r="D6" s="7"/>
      <c r="E6" s="7" t="s">
        <v>65</v>
      </c>
      <c r="F6" s="7" t="s">
        <v>44</v>
      </c>
      <c r="G6" s="7" t="s">
        <v>45</v>
      </c>
      <c r="H6" s="7"/>
      <c r="I6" s="7"/>
      <c r="J6" s="7" t="s">
        <v>66</v>
      </c>
      <c r="K6" s="7" t="s">
        <v>67</v>
      </c>
      <c r="L6" s="7" t="str">
        <f aca="false">SUBSTITUTE(SUBSTITUTE(SUBSTITUTE(SUBSTITUTE($H6,"(",""),")","")," ",""),"-","")</f>
        <v/>
      </c>
      <c r="M6" s="7" t="str">
        <f aca="false">SUBSTITUTE(SUBSTITUTE(SUBSTITUTE(SUBSTITUTE($I6,"(",""),")","")," ",""),"-","")</f>
        <v/>
      </c>
      <c r="N6" s="7" t="str">
        <f aca="false">IF(LEN($L6)=11,$L6,IF(LEN($M6)=11,$M6,""))</f>
        <v/>
      </c>
      <c r="O6" s="8" t="str">
        <f aca="false">IF($N6="","",HYPERLINK("https://wa.me/55"&amp;$N6,"Abrir conversa"))</f>
        <v/>
      </c>
      <c r="P6" s="7" t="str">
        <f aca="false">SUBSTITUTE(INDEX(Mensagens!$D$2:$D$12,MATCH($K6,Mensagens!$A$2:$A$12,0)),"[nome]",$C6)</f>
        <v>Bom dia! Sou o Luis Carlos, da lavanderia do Posto Zandoná, aqui na Ottokar Doerffel, 1489 — pertinho do prédio.
É autosserviço com máquina industrial, das 6h às 22h. O que mais traz morador daqui é edredom, cobertor e tapete, que não entram na máquina de apartamento.
Vi que o Curacao Residence tem bastante studio alugado por temporada, e esse pessoal vira enxoval toda semana.
Posso deixar cupons de primeira lavagem grátis na portaria pros moradores, e um cartaz pequeno no mural se o síndico autorizar?</v>
      </c>
      <c r="Q6" s="9" t="s">
        <v>48</v>
      </c>
      <c r="R6" s="9"/>
    </row>
    <row r="7" customFormat="false" ht="55.5" hidden="false" customHeight="true" outlineLevel="0" collapsed="false">
      <c r="A7" s="7" t="s">
        <v>40</v>
      </c>
      <c r="B7" s="7" t="s">
        <v>63</v>
      </c>
      <c r="C7" s="7" t="s">
        <v>68</v>
      </c>
      <c r="D7" s="7"/>
      <c r="E7" s="7" t="s">
        <v>69</v>
      </c>
      <c r="F7" s="7" t="s">
        <v>44</v>
      </c>
      <c r="G7" s="7" t="s">
        <v>45</v>
      </c>
      <c r="H7" s="7"/>
      <c r="I7" s="7"/>
      <c r="J7" s="7" t="s">
        <v>70</v>
      </c>
      <c r="K7" s="7" t="s">
        <v>67</v>
      </c>
      <c r="L7" s="7" t="str">
        <f aca="false">SUBSTITUTE(SUBSTITUTE(SUBSTITUTE(SUBSTITUTE($H7,"(",""),")","")," ",""),"-","")</f>
        <v/>
      </c>
      <c r="M7" s="7" t="str">
        <f aca="false">SUBSTITUTE(SUBSTITUTE(SUBSTITUTE(SUBSTITUTE($I7,"(",""),")","")," ",""),"-","")</f>
        <v/>
      </c>
      <c r="N7" s="7" t="str">
        <f aca="false">IF(LEN($L7)=11,$L7,IF(LEN($M7)=11,$M7,""))</f>
        <v/>
      </c>
      <c r="O7" s="8" t="str">
        <f aca="false">IF($N7="","",HYPERLINK("https://wa.me/55"&amp;$N7,"Abrir conversa"))</f>
        <v/>
      </c>
      <c r="P7" s="7" t="str">
        <f aca="false">SUBSTITUTE(INDEX(Mensagens!$D$2:$D$12,MATCH($K7,Mensagens!$A$2:$A$12,0)),"[nome]",$C7)</f>
        <v>Bom dia! Sou o Luis Carlos, da lavanderia do Posto Zandoná, aqui na Ottokar Doerffel, 1489 — pertinho do prédio.
É autosserviço com máquina industrial, das 6h às 22h. O que mais traz morador daqui é edredom, cobertor e tapete, que não entram na máquina de apartamento.
Vi que o Ed. Frame (46 unidades - studios de 38 m2) tem bastante studio alugado por temporada, e esse pessoal vira enxoval toda semana.
Posso deixar cupons de primeira lavagem grátis na portaria pros moradores, e um cartaz pequeno no mural se o síndico autorizar?</v>
      </c>
      <c r="Q7" s="9" t="s">
        <v>48</v>
      </c>
      <c r="R7" s="9"/>
    </row>
    <row r="8" customFormat="false" ht="55.5" hidden="false" customHeight="true" outlineLevel="0" collapsed="false">
      <c r="A8" s="7" t="s">
        <v>40</v>
      </c>
      <c r="B8" s="7" t="s">
        <v>63</v>
      </c>
      <c r="C8" s="7" t="s">
        <v>71</v>
      </c>
      <c r="D8" s="7"/>
      <c r="E8" s="7" t="s">
        <v>72</v>
      </c>
      <c r="F8" s="7" t="s">
        <v>44</v>
      </c>
      <c r="G8" s="7" t="s">
        <v>45</v>
      </c>
      <c r="H8" s="7"/>
      <c r="I8" s="7"/>
      <c r="J8" s="7" t="s">
        <v>73</v>
      </c>
      <c r="K8" s="7" t="s">
        <v>67</v>
      </c>
      <c r="L8" s="7" t="str">
        <f aca="false">SUBSTITUTE(SUBSTITUTE(SUBSTITUTE(SUBSTITUTE($H8,"(",""),")","")," ",""),"-","")</f>
        <v/>
      </c>
      <c r="M8" s="7" t="str">
        <f aca="false">SUBSTITUTE(SUBSTITUTE(SUBSTITUTE(SUBSTITUTE($I8,"(",""),")","")," ",""),"-","")</f>
        <v/>
      </c>
      <c r="N8" s="7" t="str">
        <f aca="false">IF(LEN($L8)=11,$L8,IF(LEN($M8)=11,$M8,""))</f>
        <v/>
      </c>
      <c r="O8" s="8" t="str">
        <f aca="false">IF($N8="","",HYPERLINK("https://wa.me/55"&amp;$N8,"Abrir conversa"))</f>
        <v/>
      </c>
      <c r="P8" s="7" t="str">
        <f aca="false">SUBSTITUTE(INDEX(Mensagens!$D$2:$D$12,MATCH($K8,Mensagens!$A$2:$A$12,0)),"[nome]",$C8)</f>
        <v>Bom dia! Sou o Luis Carlos, da lavanderia do Posto Zandoná, aqui na Ottokar Doerffel, 1489 — pertinho do prédio.
É autosserviço com máquina industrial, das 6h às 22h. O que mais traz morador daqui é edredom, cobertor e tapete, que não entram na máquina de apartamento.
Vi que o Ed. WB - Darcy Vargas tem bastante studio alugado por temporada, e esse pessoal vira enxoval toda semana.
Posso deixar cupons de primeira lavagem grátis na portaria pros moradores, e um cartaz pequeno no mural se o síndico autorizar?</v>
      </c>
      <c r="Q8" s="9" t="s">
        <v>48</v>
      </c>
      <c r="R8" s="9"/>
    </row>
    <row r="9" customFormat="false" ht="55.5" hidden="false" customHeight="true" outlineLevel="0" collapsed="false">
      <c r="A9" s="7" t="s">
        <v>40</v>
      </c>
      <c r="B9" s="7" t="s">
        <v>74</v>
      </c>
      <c r="C9" s="7" t="s">
        <v>75</v>
      </c>
      <c r="D9" s="7"/>
      <c r="E9" s="7" t="s">
        <v>76</v>
      </c>
      <c r="F9" s="7" t="s">
        <v>44</v>
      </c>
      <c r="G9" s="7" t="s">
        <v>45</v>
      </c>
      <c r="H9" s="7"/>
      <c r="I9" s="7"/>
      <c r="J9" s="7" t="s">
        <v>77</v>
      </c>
      <c r="K9" s="7" t="s">
        <v>78</v>
      </c>
      <c r="L9" s="7" t="str">
        <f aca="false">SUBSTITUTE(SUBSTITUTE(SUBSTITUTE(SUBSTITUTE($H9,"(",""),")","")," ",""),"-","")</f>
        <v/>
      </c>
      <c r="M9" s="7" t="str">
        <f aca="false">SUBSTITUTE(SUBSTITUTE(SUBSTITUTE(SUBSTITUTE($I9,"(",""),")","")," ",""),"-","")</f>
        <v/>
      </c>
      <c r="N9" s="7" t="str">
        <f aca="false">IF(LEN($L9)=11,$L9,IF(LEN($M9)=11,$M9,""))</f>
        <v/>
      </c>
      <c r="O9" s="8" t="str">
        <f aca="false">IF($N9="","",HYPERLINK("https://wa.me/55"&amp;$N9,"Abrir conversa"))</f>
        <v/>
      </c>
      <c r="P9" s="7" t="str">
        <f aca="false">SUBSTITUTE(INDEX(Mensagens!$D$2:$D$12,MATCH($K9,Mensagens!$A$2:$A$12,0)),"[nome]",$C9)</f>
        <v>Bom dia. Sou o Luis Carlos, da lavanderia do Posto Zandoná, na Ottokar Doerffel, 1489 — somos quase vizinhos de vocês, no 1733.
Somos autosserviço com máquinas industriais, das 6h às 22h, e atendemos pousada e hostel pequeno da região central.
Queria entender como funciona a relação de vocês com os associados e se cabe uma condição para a rede — pensando no pico do Festival de Dança, quando pousada pequena estoura a capacidade de lavar e precisa de uma válvula de escape perto.
Consigo uma conversa de 20 minutos esta semana?</v>
      </c>
      <c r="Q9" s="9" t="s">
        <v>48</v>
      </c>
      <c r="R9" s="9"/>
    </row>
    <row r="10" customFormat="false" ht="55.5" hidden="false" customHeight="true" outlineLevel="0" collapsed="false">
      <c r="A10" s="7" t="s">
        <v>40</v>
      </c>
      <c r="B10" s="7" t="s">
        <v>79</v>
      </c>
      <c r="C10" s="7" t="s">
        <v>80</v>
      </c>
      <c r="D10" s="7"/>
      <c r="E10" s="7" t="s">
        <v>81</v>
      </c>
      <c r="F10" s="7" t="s">
        <v>51</v>
      </c>
      <c r="G10" s="7" t="s">
        <v>45</v>
      </c>
      <c r="H10" s="7"/>
      <c r="I10" s="7"/>
      <c r="J10" s="7"/>
      <c r="K10" s="7" t="s">
        <v>47</v>
      </c>
      <c r="L10" s="7" t="str">
        <f aca="false">SUBSTITUTE(SUBSTITUTE(SUBSTITUTE(SUBSTITUTE($H10,"(",""),")","")," ",""),"-","")</f>
        <v/>
      </c>
      <c r="M10" s="7" t="str">
        <f aca="false">SUBSTITUTE(SUBSTITUTE(SUBSTITUTE(SUBSTITUTE($I10,"(",""),")","")," ",""),"-","")</f>
        <v/>
      </c>
      <c r="N10" s="7" t="str">
        <f aca="false">IF(LEN($L10)=11,$L10,IF(LEN($M10)=11,$M10,""))</f>
        <v/>
      </c>
      <c r="O10" s="8" t="str">
        <f aca="false">IF($N10="","",HYPERLINK("https://wa.me/55"&amp;$N10,"Abrir conversa"))</f>
        <v/>
      </c>
      <c r="P10" s="7" t="str">
        <f aca="false">SUBSTITUTE(INDEX(Mensagens!$D$2:$D$12,MATCH($K10,Mensagens!$A$2:$A$12,0)),"[nome]",$C10)</f>
        <v>Oi, tudo bem? Sou o Luis Carlos, da lavanderia do Posto Zandoná, aqui na Ottokar Doerffel.
Autosserviço com máquina e secadora industrial. Pra salão o ponto é a secadora: toalha que seca no varal fica dura e com cheiro de úmido; na secadora volta macia no mesmo dia.
É uma parada de uma hora por semana, e ninguém da equipe precisa levar sacola pra casa.
Deixo a primeira lavagem por minha conta pra você comparar. Pode ser?</v>
      </c>
      <c r="Q10" s="9" t="s">
        <v>48</v>
      </c>
      <c r="R10" s="9"/>
    </row>
    <row r="11" customFormat="false" ht="55.5" hidden="false" customHeight="true" outlineLevel="0" collapsed="false">
      <c r="A11" s="7" t="s">
        <v>40</v>
      </c>
      <c r="B11" s="7" t="s">
        <v>63</v>
      </c>
      <c r="C11" s="7" t="s">
        <v>82</v>
      </c>
      <c r="D11" s="7"/>
      <c r="E11" s="7" t="s">
        <v>83</v>
      </c>
      <c r="F11" s="7" t="s">
        <v>44</v>
      </c>
      <c r="G11" s="7" t="s">
        <v>45</v>
      </c>
      <c r="H11" s="7"/>
      <c r="I11" s="7"/>
      <c r="J11" s="7" t="s">
        <v>84</v>
      </c>
      <c r="K11" s="7" t="s">
        <v>67</v>
      </c>
      <c r="L11" s="7" t="str">
        <f aca="false">SUBSTITUTE(SUBSTITUTE(SUBSTITUTE(SUBSTITUTE($H11,"(",""),")","")," ",""),"-","")</f>
        <v/>
      </c>
      <c r="M11" s="7" t="str">
        <f aca="false">SUBSTITUTE(SUBSTITUTE(SUBSTITUTE(SUBSTITUTE($I11,"(",""),")","")," ",""),"-","")</f>
        <v/>
      </c>
      <c r="N11" s="7" t="str">
        <f aca="false">IF(LEN($L11)=11,$L11,IF(LEN($M11)=11,$M11,""))</f>
        <v/>
      </c>
      <c r="O11" s="8" t="str">
        <f aca="false">IF($N11="","",HYPERLINK("https://wa.me/55"&amp;$N11,"Abrir conversa"))</f>
        <v/>
      </c>
      <c r="P11" s="7" t="str">
        <f aca="false">SUBSTITUTE(INDEX(Mensagens!$D$2:$D$12,MATCH($K11,Mensagens!$A$2:$A$12,0)),"[nome]",$C11)</f>
        <v>Bom dia! Sou o Luis Carlos, da lavanderia do Posto Zandoná, aqui na Ottokar Doerffel, 1489 — pertinho do prédio.
É autosserviço com máquina industrial, das 6h às 22h. O que mais traz morador daqui é edredom, cobertor e tapete, que não entram na máquina de apartamento.
Vi que o Mingus 897 (54 unidades - smart building) tem bastante studio alugado por temporada, e esse pessoal vira enxoval toda semana.
Posso deixar cupons de primeira lavagem grátis na portaria pros moradores, e um cartaz pequeno no mural se o síndico autorizar?</v>
      </c>
      <c r="Q11" s="9" t="s">
        <v>48</v>
      </c>
      <c r="R11" s="9"/>
    </row>
    <row r="12" customFormat="false" ht="55.5" hidden="false" customHeight="true" outlineLevel="0" collapsed="false">
      <c r="A12" s="7" t="s">
        <v>40</v>
      </c>
      <c r="B12" s="7" t="s">
        <v>85</v>
      </c>
      <c r="C12" s="7" t="s">
        <v>86</v>
      </c>
      <c r="D12" s="7"/>
      <c r="E12" s="7" t="s">
        <v>87</v>
      </c>
      <c r="F12" s="7" t="s">
        <v>44</v>
      </c>
      <c r="G12" s="7" t="s">
        <v>45</v>
      </c>
      <c r="H12" s="7" t="s">
        <v>88</v>
      </c>
      <c r="I12" s="7"/>
      <c r="J12" s="7"/>
      <c r="K12" s="7" t="s">
        <v>89</v>
      </c>
      <c r="L12" s="7" t="str">
        <f aca="false">SUBSTITUTE(SUBSTITUTE(SUBSTITUTE(SUBSTITUTE($H12,"(",""),")","")," ",""),"-","")</f>
        <v>47989039023</v>
      </c>
      <c r="M12" s="7" t="str">
        <f aca="false">SUBSTITUTE(SUBSTITUTE(SUBSTITUTE(SUBSTITUTE($I12,"(",""),")","")," ",""),"-","")</f>
        <v/>
      </c>
      <c r="N12" s="7" t="str">
        <f aca="false">IF(LEN($L12)=11,$L12,IF(LEN($M12)=11,$M12,""))</f>
        <v>47989039023</v>
      </c>
      <c r="O12" s="8" t="str">
        <f aca="false">IF($N12="","",HYPERLINK("https://wa.me/55"&amp;$N12,"Abrir conversa"))</f>
        <v>Abrir conversa</v>
      </c>
      <c r="P12" s="7" t="str">
        <f aca="false">SUBSTITUTE(INDEX(Mensagens!$D$2:$D$12,MATCH($K12,Mensagens!$A$2:$A$12,0)),"[nome]",$C12)</f>
        <v>Oi, tudo bem? Sou o Luis Carlos, da lavanderia aqui do Posto Zandoná, na Ottokar Doerffel — a poucos minutos daqui.
Autosserviço, com máquina e secadora industrial. Pra banho e tosa o ganho é a secadora: a toalha sai seca na hora, não fica aquele monte pendurado esperando e azedando.
Abrimos às 6h, dá pra resolver antes de abrir a loja, e tem estacionamento na porta.
Primeira lavagem por minha conta — quer que eu deixe o cupom aqui?</v>
      </c>
      <c r="Q12" s="9" t="s">
        <v>48</v>
      </c>
      <c r="R12" s="9"/>
    </row>
    <row r="13" customFormat="false" ht="55.5" hidden="false" customHeight="true" outlineLevel="0" collapsed="false">
      <c r="A13" s="7" t="s">
        <v>40</v>
      </c>
      <c r="B13" s="7" t="s">
        <v>85</v>
      </c>
      <c r="C13" s="7" t="s">
        <v>90</v>
      </c>
      <c r="D13" s="7"/>
      <c r="E13" s="7" t="s">
        <v>91</v>
      </c>
      <c r="F13" s="7" t="s">
        <v>51</v>
      </c>
      <c r="G13" s="7" t="s">
        <v>45</v>
      </c>
      <c r="H13" s="7" t="s">
        <v>92</v>
      </c>
      <c r="I13" s="7" t="s">
        <v>93</v>
      </c>
      <c r="J13" s="7"/>
      <c r="K13" s="7" t="s">
        <v>89</v>
      </c>
      <c r="L13" s="7" t="str">
        <f aca="false">SUBSTITUTE(SUBSTITUTE(SUBSTITUTE(SUBSTITUTE($H13,"(",""),")","")," ",""),"-","")</f>
        <v>47997382080</v>
      </c>
      <c r="M13" s="7" t="str">
        <f aca="false">SUBSTITUTE(SUBSTITUTE(SUBSTITUTE(SUBSTITUTE($I13,"(",""),")","")," ",""),"-","")</f>
        <v>47997172108</v>
      </c>
      <c r="N13" s="7" t="str">
        <f aca="false">IF(LEN($L13)=11,$L13,IF(LEN($M13)=11,$M13,""))</f>
        <v>47997382080</v>
      </c>
      <c r="O13" s="8" t="str">
        <f aca="false">IF($N13="","",HYPERLINK("https://wa.me/55"&amp;$N13,"Abrir conversa"))</f>
        <v>Abrir conversa</v>
      </c>
      <c r="P13" s="7" t="str">
        <f aca="false">SUBSTITUTE(INDEX(Mensagens!$D$2:$D$12,MATCH($K13,Mensagens!$A$2:$A$12,0)),"[nome]",$C13)</f>
        <v>Oi, tudo bem? Sou o Luis Carlos, da lavanderia aqui do Posto Zandoná, na Ottokar Doerffel — a poucos minutos daqui.
Autosserviço, com máquina e secadora industrial. Pra banho e tosa o ganho é a secadora: a toalha sai seca na hora, não fica aquele monte pendurado esperando e azedando.
Abrimos às 6h, dá pra resolver antes de abrir a loja, e tem estacionamento na porta.
Primeira lavagem por minha conta — quer que eu deixe o cupom aqui?</v>
      </c>
      <c r="Q13" s="9" t="s">
        <v>48</v>
      </c>
      <c r="R13" s="9"/>
    </row>
    <row r="14" customFormat="false" ht="55.5" hidden="false" customHeight="true" outlineLevel="0" collapsed="false">
      <c r="A14" s="7" t="s">
        <v>40</v>
      </c>
      <c r="B14" s="7" t="s">
        <v>63</v>
      </c>
      <c r="C14" s="7" t="s">
        <v>94</v>
      </c>
      <c r="D14" s="7"/>
      <c r="E14" s="7" t="s">
        <v>95</v>
      </c>
      <c r="F14" s="7" t="s">
        <v>44</v>
      </c>
      <c r="G14" s="7" t="s">
        <v>45</v>
      </c>
      <c r="H14" s="7"/>
      <c r="I14" s="7"/>
      <c r="J14" s="7" t="s">
        <v>96</v>
      </c>
      <c r="K14" s="7" t="s">
        <v>67</v>
      </c>
      <c r="L14" s="7" t="str">
        <f aca="false">SUBSTITUTE(SUBSTITUTE(SUBSTITUTE(SUBSTITUTE($H14,"(",""),")","")," ",""),"-","")</f>
        <v/>
      </c>
      <c r="M14" s="7" t="str">
        <f aca="false">SUBSTITUTE(SUBSTITUTE(SUBSTITUTE(SUBSTITUTE($I14,"(",""),")","")," ",""),"-","")</f>
        <v/>
      </c>
      <c r="N14" s="7" t="str">
        <f aca="false">IF(LEN($L14)=11,$L14,IF(LEN($M14)=11,$M14,""))</f>
        <v/>
      </c>
      <c r="O14" s="8" t="str">
        <f aca="false">IF($N14="","",HYPERLINK("https://wa.me/55"&amp;$N14,"Abrir conversa"))</f>
        <v/>
      </c>
      <c r="P14" s="7" t="str">
        <f aca="false">SUBSTITUTE(INDEX(Mensagens!$D$2:$D$12,MATCH($K14,Mensagens!$A$2:$A$12,0)),"[nome]",$C14)</f>
        <v>Bom dia! Sou o Luis Carlos, da lavanderia do Posto Zandoná, aqui na Ottokar Doerffel, 1489 — pertinho do prédio.
É autosserviço com máquina industrial, das 6h às 22h. O que mais traz morador daqui é edredom, cobertor e tapete, que não entram na máquina de apartamento.
Vi que o Predio dos 'Estudios 01 a 08' - anfitriao com 3 unidades tem bastante studio alugado por temporada, e esse pessoal vira enxoval toda semana.
Posso deixar cupons de primeira lavagem grátis na portaria pros moradores, e um cartaz pequeno no mural se o síndico autorizar?</v>
      </c>
      <c r="Q14" s="9" t="s">
        <v>48</v>
      </c>
      <c r="R14" s="9"/>
    </row>
    <row r="15" customFormat="false" ht="55.5" hidden="false" customHeight="true" outlineLevel="0" collapsed="false">
      <c r="A15" s="7" t="s">
        <v>97</v>
      </c>
      <c r="B15" s="7" t="s">
        <v>52</v>
      </c>
      <c r="C15" s="7" t="s">
        <v>98</v>
      </c>
      <c r="D15" s="7"/>
      <c r="E15" s="7" t="s">
        <v>99</v>
      </c>
      <c r="F15" s="7" t="s">
        <v>44</v>
      </c>
      <c r="G15" s="7" t="s">
        <v>45</v>
      </c>
      <c r="H15" s="7"/>
      <c r="I15" s="7"/>
      <c r="J15" s="7"/>
      <c r="K15" s="7" t="s">
        <v>56</v>
      </c>
      <c r="L15" s="7" t="str">
        <f aca="false">SUBSTITUTE(SUBSTITUTE(SUBSTITUTE(SUBSTITUTE($H15,"(",""),")","")," ",""),"-","")</f>
        <v/>
      </c>
      <c r="M15" s="7" t="str">
        <f aca="false">SUBSTITUTE(SUBSTITUTE(SUBSTITUTE(SUBSTITUTE($I15,"(",""),")","")," ",""),"-","")</f>
        <v/>
      </c>
      <c r="N15" s="7" t="str">
        <f aca="false">IF(LEN($L15)=11,$L15,IF(LEN($M15)=11,$M15,""))</f>
        <v/>
      </c>
      <c r="O15" s="8" t="str">
        <f aca="false">IF($N15="","",HYPERLINK("https://wa.me/55"&amp;$N15,"Abrir conversa"))</f>
        <v/>
      </c>
      <c r="P15" s="7" t="str">
        <f aca="false">SUBSTITUTE(INDEX(Mensagens!$D$2:$D$12,MATCH($K15,Mensagens!$A$2:$A$12,0)),"[nome]",$C15)</f>
        <v>Oi! Sou o Luis Carlos, da lavanderia do Posto Zandoná, aqui na Ottokar Doerffel.
Autosserviço com máquina e secadora industrial: toalha de treino e pano de higienização lavam e secam numa parada só — sem máquina rodando no intervalo e sem ninguém da recepção cuidando disso.
Das 6h às 22h, com estacionamento na porta.
Primeira lavagem por minha conta pra você ver o resultado. Quando fica bom testar?</v>
      </c>
      <c r="Q15" s="9" t="s">
        <v>48</v>
      </c>
      <c r="R15" s="9"/>
    </row>
    <row r="16" customFormat="false" ht="55.5" hidden="false" customHeight="true" outlineLevel="0" collapsed="false">
      <c r="A16" s="7" t="s">
        <v>97</v>
      </c>
      <c r="B16" s="7" t="s">
        <v>52</v>
      </c>
      <c r="C16" s="7" t="s">
        <v>100</v>
      </c>
      <c r="D16" s="7"/>
      <c r="E16" s="7" t="s">
        <v>101</v>
      </c>
      <c r="F16" s="7" t="s">
        <v>44</v>
      </c>
      <c r="G16" s="7" t="s">
        <v>45</v>
      </c>
      <c r="H16" s="7"/>
      <c r="I16" s="7"/>
      <c r="J16" s="7"/>
      <c r="K16" s="7" t="s">
        <v>56</v>
      </c>
      <c r="L16" s="7" t="str">
        <f aca="false">SUBSTITUTE(SUBSTITUTE(SUBSTITUTE(SUBSTITUTE($H16,"(",""),")","")," ",""),"-","")</f>
        <v/>
      </c>
      <c r="M16" s="7" t="str">
        <f aca="false">SUBSTITUTE(SUBSTITUTE(SUBSTITUTE(SUBSTITUTE($I16,"(",""),")","")," ",""),"-","")</f>
        <v/>
      </c>
      <c r="N16" s="7" t="str">
        <f aca="false">IF(LEN($L16)=11,$L16,IF(LEN($M16)=11,$M16,""))</f>
        <v/>
      </c>
      <c r="O16" s="8" t="str">
        <f aca="false">IF($N16="","",HYPERLINK("https://wa.me/55"&amp;$N16,"Abrir conversa"))</f>
        <v/>
      </c>
      <c r="P16" s="7" t="str">
        <f aca="false">SUBSTITUTE(INDEX(Mensagens!$D$2:$D$12,MATCH($K16,Mensagens!$A$2:$A$12,0)),"[nome]",$C16)</f>
        <v>Oi! Sou o Luis Carlos, da lavanderia do Posto Zandoná, aqui na Ottokar Doerffel.
Autosserviço com máquina e secadora industrial: toalha de treino e pano de higienização lavam e secam numa parada só — sem máquina rodando no intervalo e sem ninguém da recepção cuidando disso.
Das 6h às 22h, com estacionamento na porta.
Primeira lavagem por minha conta pra você ver o resultado. Quando fica bom testar?</v>
      </c>
      <c r="Q16" s="9" t="s">
        <v>48</v>
      </c>
      <c r="R16" s="9"/>
    </row>
    <row r="17" customFormat="false" ht="55.5" hidden="false" customHeight="true" outlineLevel="0" collapsed="false">
      <c r="A17" s="7" t="s">
        <v>97</v>
      </c>
      <c r="B17" s="7" t="s">
        <v>41</v>
      </c>
      <c r="C17" s="7" t="s">
        <v>102</v>
      </c>
      <c r="D17" s="7"/>
      <c r="E17" s="7" t="s">
        <v>103</v>
      </c>
      <c r="F17" s="7" t="s">
        <v>44</v>
      </c>
      <c r="G17" s="7" t="s">
        <v>45</v>
      </c>
      <c r="H17" s="7"/>
      <c r="I17" s="7"/>
      <c r="J17" s="7"/>
      <c r="K17" s="7" t="s">
        <v>47</v>
      </c>
      <c r="L17" s="7" t="str">
        <f aca="false">SUBSTITUTE(SUBSTITUTE(SUBSTITUTE(SUBSTITUTE($H17,"(",""),")","")," ",""),"-","")</f>
        <v/>
      </c>
      <c r="M17" s="7" t="str">
        <f aca="false">SUBSTITUTE(SUBSTITUTE(SUBSTITUTE(SUBSTITUTE($I17,"(",""),")","")," ",""),"-","")</f>
        <v/>
      </c>
      <c r="N17" s="7" t="str">
        <f aca="false">IF(LEN($L17)=11,$L17,IF(LEN($M17)=11,$M17,""))</f>
        <v/>
      </c>
      <c r="O17" s="8" t="str">
        <f aca="false">IF($N17="","",HYPERLINK("https://wa.me/55"&amp;$N17,"Abrir conversa"))</f>
        <v/>
      </c>
      <c r="P17" s="7" t="str">
        <f aca="false">SUBSTITUTE(INDEX(Mensagens!$D$2:$D$12,MATCH($K17,Mensagens!$A$2:$A$12,0)),"[nome]",$C17)</f>
        <v>Oi, tudo bem? Sou o Luis Carlos, da lavanderia do Posto Zandoná, aqui na Ottokar Doerffel.
Autosserviço com máquina e secadora industrial. Pra salão o ponto é a secadora: toalha que seca no varal fica dura e com cheiro de úmido; na secadora volta macia no mesmo dia.
É uma parada de uma hora por semana, e ninguém da equipe precisa levar sacola pra casa.
Deixo a primeira lavagem por minha conta pra você comparar. Pode ser?</v>
      </c>
      <c r="Q17" s="9" t="s">
        <v>48</v>
      </c>
      <c r="R17" s="9"/>
    </row>
    <row r="18" customFormat="false" ht="55.5" hidden="false" customHeight="true" outlineLevel="0" collapsed="false">
      <c r="A18" s="7" t="s">
        <v>97</v>
      </c>
      <c r="B18" s="7" t="s">
        <v>79</v>
      </c>
      <c r="C18" s="7" t="s">
        <v>104</v>
      </c>
      <c r="D18" s="7"/>
      <c r="E18" s="7" t="s">
        <v>105</v>
      </c>
      <c r="F18" s="7" t="s">
        <v>44</v>
      </c>
      <c r="G18" s="7" t="s">
        <v>45</v>
      </c>
      <c r="H18" s="7"/>
      <c r="I18" s="7"/>
      <c r="J18" s="7" t="s">
        <v>106</v>
      </c>
      <c r="K18" s="7" t="s">
        <v>47</v>
      </c>
      <c r="L18" s="7" t="str">
        <f aca="false">SUBSTITUTE(SUBSTITUTE(SUBSTITUTE(SUBSTITUTE($H18,"(",""),")","")," ",""),"-","")</f>
        <v/>
      </c>
      <c r="M18" s="7" t="str">
        <f aca="false">SUBSTITUTE(SUBSTITUTE(SUBSTITUTE(SUBSTITUTE($I18,"(",""),")","")," ",""),"-","")</f>
        <v/>
      </c>
      <c r="N18" s="7" t="str">
        <f aca="false">IF(LEN($L18)=11,$L18,IF(LEN($M18)=11,$M18,""))</f>
        <v/>
      </c>
      <c r="O18" s="8" t="str">
        <f aca="false">IF($N18="","",HYPERLINK("https://wa.me/55"&amp;$N18,"Abrir conversa"))</f>
        <v/>
      </c>
      <c r="P18" s="7" t="str">
        <f aca="false">SUBSTITUTE(INDEX(Mensagens!$D$2:$D$12,MATCH($K18,Mensagens!$A$2:$A$12,0)),"[nome]",$C18)</f>
        <v>Oi, tudo bem? Sou o Luis Carlos, da lavanderia do Posto Zandoná, aqui na Ottokar Doerffel.
Autosserviço com máquina e secadora industrial. Pra salão o ponto é a secadora: toalha que seca no varal fica dura e com cheiro de úmido; na secadora volta macia no mesmo dia.
É uma parada de uma hora por semana, e ninguém da equipe precisa levar sacola pra casa.
Deixo a primeira lavagem por minha conta pra você comparar. Pode ser?</v>
      </c>
      <c r="Q18" s="9" t="s">
        <v>48</v>
      </c>
      <c r="R18" s="9"/>
    </row>
    <row r="19" customFormat="false" ht="55.5" hidden="false" customHeight="true" outlineLevel="0" collapsed="false">
      <c r="A19" s="7" t="s">
        <v>97</v>
      </c>
      <c r="B19" s="7" t="s">
        <v>79</v>
      </c>
      <c r="C19" s="7" t="s">
        <v>107</v>
      </c>
      <c r="D19" s="7"/>
      <c r="E19" s="7" t="s">
        <v>108</v>
      </c>
      <c r="F19" s="7" t="s">
        <v>44</v>
      </c>
      <c r="G19" s="7" t="s">
        <v>45</v>
      </c>
      <c r="H19" s="7"/>
      <c r="I19" s="7"/>
      <c r="J19" s="7" t="s">
        <v>109</v>
      </c>
      <c r="K19" s="7" t="s">
        <v>47</v>
      </c>
      <c r="L19" s="7" t="str">
        <f aca="false">SUBSTITUTE(SUBSTITUTE(SUBSTITUTE(SUBSTITUTE($H19,"(",""),")","")," ",""),"-","")</f>
        <v/>
      </c>
      <c r="M19" s="7" t="str">
        <f aca="false">SUBSTITUTE(SUBSTITUTE(SUBSTITUTE(SUBSTITUTE($I19,"(",""),")","")," ",""),"-","")</f>
        <v/>
      </c>
      <c r="N19" s="7" t="str">
        <f aca="false">IF(LEN($L19)=11,$L19,IF(LEN($M19)=11,$M19,""))</f>
        <v/>
      </c>
      <c r="O19" s="8" t="str">
        <f aca="false">IF($N19="","",HYPERLINK("https://wa.me/55"&amp;$N19,"Abrir conversa"))</f>
        <v/>
      </c>
      <c r="P19" s="7" t="str">
        <f aca="false">SUBSTITUTE(INDEX(Mensagens!$D$2:$D$12,MATCH($K19,Mensagens!$A$2:$A$12,0)),"[nome]",$C19)</f>
        <v>Oi, tudo bem? Sou o Luis Carlos, da lavanderia do Posto Zandoná, aqui na Ottokar Doerffel.
Autosserviço com máquina e secadora industrial. Pra salão o ponto é a secadora: toalha que seca no varal fica dura e com cheiro de úmido; na secadora volta macia no mesmo dia.
É uma parada de uma hora por semana, e ninguém da equipe precisa levar sacola pra casa.
Deixo a primeira lavagem por minha conta pra você comparar. Pode ser?</v>
      </c>
      <c r="Q19" s="9" t="s">
        <v>48</v>
      </c>
      <c r="R19" s="9"/>
    </row>
    <row r="20" customFormat="false" ht="55.5" hidden="false" customHeight="true" outlineLevel="0" collapsed="false">
      <c r="A20" s="7" t="s">
        <v>97</v>
      </c>
      <c r="B20" s="7" t="s">
        <v>52</v>
      </c>
      <c r="C20" s="7" t="s">
        <v>110</v>
      </c>
      <c r="D20" s="7"/>
      <c r="E20" s="7" t="s">
        <v>111</v>
      </c>
      <c r="F20" s="7" t="s">
        <v>51</v>
      </c>
      <c r="G20" s="7" t="s">
        <v>45</v>
      </c>
      <c r="H20" s="7"/>
      <c r="I20" s="7"/>
      <c r="J20" s="7"/>
      <c r="K20" s="7" t="s">
        <v>56</v>
      </c>
      <c r="L20" s="7" t="str">
        <f aca="false">SUBSTITUTE(SUBSTITUTE(SUBSTITUTE(SUBSTITUTE($H20,"(",""),")","")," ",""),"-","")</f>
        <v/>
      </c>
      <c r="M20" s="7" t="str">
        <f aca="false">SUBSTITUTE(SUBSTITUTE(SUBSTITUTE(SUBSTITUTE($I20,"(",""),")","")," ",""),"-","")</f>
        <v/>
      </c>
      <c r="N20" s="7" t="str">
        <f aca="false">IF(LEN($L20)=11,$L20,IF(LEN($M20)=11,$M20,""))</f>
        <v/>
      </c>
      <c r="O20" s="8" t="str">
        <f aca="false">IF($N20="","",HYPERLINK("https://wa.me/55"&amp;$N20,"Abrir conversa"))</f>
        <v/>
      </c>
      <c r="P20" s="7" t="str">
        <f aca="false">SUBSTITUTE(INDEX(Mensagens!$D$2:$D$12,MATCH($K20,Mensagens!$A$2:$A$12,0)),"[nome]",$C20)</f>
        <v>Oi! Sou o Luis Carlos, da lavanderia do Posto Zandoná, aqui na Ottokar Doerffel.
Autosserviço com máquina e secadora industrial: toalha de treino e pano de higienização lavam e secam numa parada só — sem máquina rodando no intervalo e sem ninguém da recepção cuidando disso.
Das 6h às 22h, com estacionamento na porta.
Primeira lavagem por minha conta pra você ver o resultado. Quando fica bom testar?</v>
      </c>
      <c r="Q20" s="9" t="s">
        <v>48</v>
      </c>
      <c r="R20" s="9"/>
    </row>
    <row r="21" customFormat="false" ht="55.5" hidden="false" customHeight="true" outlineLevel="0" collapsed="false">
      <c r="A21" s="7" t="s">
        <v>97</v>
      </c>
      <c r="B21" s="7" t="s">
        <v>63</v>
      </c>
      <c r="C21" s="7" t="s">
        <v>112</v>
      </c>
      <c r="D21" s="7"/>
      <c r="E21" s="7" t="s">
        <v>113</v>
      </c>
      <c r="F21" s="7" t="s">
        <v>44</v>
      </c>
      <c r="G21" s="7" t="s">
        <v>45</v>
      </c>
      <c r="H21" s="7"/>
      <c r="I21" s="7"/>
      <c r="J21" s="7" t="s">
        <v>114</v>
      </c>
      <c r="K21" s="7" t="s">
        <v>67</v>
      </c>
      <c r="L21" s="7" t="str">
        <f aca="false">SUBSTITUTE(SUBSTITUTE(SUBSTITUTE(SUBSTITUTE($H21,"(",""),")","")," ",""),"-","")</f>
        <v/>
      </c>
      <c r="M21" s="7" t="str">
        <f aca="false">SUBSTITUTE(SUBSTITUTE(SUBSTITUTE(SUBSTITUTE($I21,"(",""),")","")," ",""),"-","")</f>
        <v/>
      </c>
      <c r="N21" s="7" t="str">
        <f aca="false">IF(LEN($L21)=11,$L21,IF(LEN($M21)=11,$M21,""))</f>
        <v/>
      </c>
      <c r="O21" s="8" t="str">
        <f aca="false">IF($N21="","",HYPERLINK("https://wa.me/55"&amp;$N21,"Abrir conversa"))</f>
        <v/>
      </c>
      <c r="P21" s="7" t="str">
        <f aca="false">SUBSTITUTE(INDEX(Mensagens!$D$2:$D$12,MATCH($K21,Mensagens!$A$2:$A$12,0)),"[nome]",$C21)</f>
        <v>Bom dia! Sou o Luis Carlos, da lavanderia do Posto Zandoná, aqui na Ottokar Doerffel, 1489 — pertinho do prédio.
É autosserviço com máquina industrial, das 6h às 22h. O que mais traz morador daqui é edredom, cobertor e tapete, que não entram na máquina de apartamento.
Vi que o Torre Morion tem bastante studio alugado por temporada, e esse pessoal vira enxoval toda semana.
Posso deixar cupons de primeira lavagem grátis na portaria pros moradores, e um cartaz pequeno no mural se o síndico autorizar?</v>
      </c>
      <c r="Q21" s="9" t="s">
        <v>48</v>
      </c>
      <c r="R21" s="9"/>
    </row>
    <row r="22" customFormat="false" ht="55.5" hidden="false" customHeight="true" outlineLevel="0" collapsed="false">
      <c r="A22" s="7" t="s">
        <v>115</v>
      </c>
      <c r="B22" s="7" t="s">
        <v>85</v>
      </c>
      <c r="C22" s="7" t="s">
        <v>116</v>
      </c>
      <c r="D22" s="7"/>
      <c r="E22" s="7" t="s">
        <v>117</v>
      </c>
      <c r="F22" s="7" t="s">
        <v>44</v>
      </c>
      <c r="G22" s="7" t="s">
        <v>45</v>
      </c>
      <c r="H22" s="7"/>
      <c r="I22" s="7"/>
      <c r="J22" s="7"/>
      <c r="K22" s="7" t="s">
        <v>89</v>
      </c>
      <c r="L22" s="7" t="str">
        <f aca="false">SUBSTITUTE(SUBSTITUTE(SUBSTITUTE(SUBSTITUTE($H22,"(",""),")","")," ",""),"-","")</f>
        <v/>
      </c>
      <c r="M22" s="7" t="str">
        <f aca="false">SUBSTITUTE(SUBSTITUTE(SUBSTITUTE(SUBSTITUTE($I22,"(",""),")","")," ",""),"-","")</f>
        <v/>
      </c>
      <c r="N22" s="7" t="str">
        <f aca="false">IF(LEN($L22)=11,$L22,IF(LEN($M22)=11,$M22,""))</f>
        <v/>
      </c>
      <c r="O22" s="8" t="str">
        <f aca="false">IF($N22="","",HYPERLINK("https://wa.me/55"&amp;$N22,"Abrir conversa"))</f>
        <v/>
      </c>
      <c r="P22" s="7" t="str">
        <f aca="false">SUBSTITUTE(INDEX(Mensagens!$D$2:$D$12,MATCH($K22,Mensagens!$A$2:$A$12,0)),"[nome]",$C22)</f>
        <v>Oi, tudo bem? Sou o Luis Carlos, da lavanderia aqui do Posto Zandoná, na Ottokar Doerffel — a poucos minutos daqui.
Autosserviço, com máquina e secadora industrial. Pra banho e tosa o ganho é a secadora: a toalha sai seca na hora, não fica aquele monte pendurado esperando e azedando.
Abrimos às 6h, dá pra resolver antes de abrir a loja, e tem estacionamento na porta.
Primeira lavagem por minha conta — quer que eu deixe o cupom aqui?</v>
      </c>
      <c r="Q22" s="9" t="s">
        <v>48</v>
      </c>
      <c r="R22" s="9"/>
    </row>
    <row r="23" customFormat="false" ht="55.5" hidden="false" customHeight="true" outlineLevel="0" collapsed="false">
      <c r="A23" s="7" t="s">
        <v>115</v>
      </c>
      <c r="B23" s="7" t="s">
        <v>63</v>
      </c>
      <c r="C23" s="7" t="s">
        <v>118</v>
      </c>
      <c r="D23" s="7"/>
      <c r="E23" s="7" t="s">
        <v>119</v>
      </c>
      <c r="F23" s="7" t="s">
        <v>44</v>
      </c>
      <c r="G23" s="7" t="s">
        <v>45</v>
      </c>
      <c r="H23" s="7"/>
      <c r="I23" s="7"/>
      <c r="J23" s="7" t="s">
        <v>120</v>
      </c>
      <c r="K23" s="7" t="s">
        <v>67</v>
      </c>
      <c r="L23" s="7" t="str">
        <f aca="false">SUBSTITUTE(SUBSTITUTE(SUBSTITUTE(SUBSTITUTE($H23,"(",""),")","")," ",""),"-","")</f>
        <v/>
      </c>
      <c r="M23" s="7" t="str">
        <f aca="false">SUBSTITUTE(SUBSTITUTE(SUBSTITUTE(SUBSTITUTE($I23,"(",""),")","")," ",""),"-","")</f>
        <v/>
      </c>
      <c r="N23" s="7" t="str">
        <f aca="false">IF(LEN($L23)=11,$L23,IF(LEN($M23)=11,$M23,""))</f>
        <v/>
      </c>
      <c r="O23" s="8" t="str">
        <f aca="false">IF($N23="","",HYPERLINK("https://wa.me/55"&amp;$N23,"Abrir conversa"))</f>
        <v/>
      </c>
      <c r="P23" s="7" t="str">
        <f aca="false">SUBSTITUTE(INDEX(Mensagens!$D$2:$D$12,MATCH($K23,Mensagens!$A$2:$A$12,0)),"[nome]",$C23)</f>
        <v>Bom dia! Sou o Luis Carlos, da lavanderia do Posto Zandoná, aqui na Ottokar Doerffel, 1489 — pertinho do prédio.
É autosserviço com máquina industrial, das 6h às 22h. O que mais traz morador daqui é edredom, cobertor e tapete, que não entram na máquina de apartamento.
Vi que o Wave Residence (studios de 28 m2 - entrega jul/2028) tem bastante studio alugado por temporada, e esse pessoal vira enxoval toda semana.
Posso deixar cupons de primeira lavagem grátis na portaria pros moradores, e um cartaz pequeno no mural se o síndico autorizar?</v>
      </c>
      <c r="Q23" s="9" t="s">
        <v>48</v>
      </c>
      <c r="R23" s="9"/>
    </row>
    <row r="24" customFormat="false" ht="55.5" hidden="false" customHeight="true" outlineLevel="0" collapsed="false">
      <c r="A24" s="7" t="s">
        <v>40</v>
      </c>
      <c r="B24" s="7" t="s">
        <v>121</v>
      </c>
      <c r="C24" s="7" t="s">
        <v>122</v>
      </c>
      <c r="D24" s="7" t="s">
        <v>123</v>
      </c>
      <c r="E24" s="7" t="s">
        <v>124</v>
      </c>
      <c r="F24" s="7" t="s">
        <v>125</v>
      </c>
      <c r="G24" s="7" t="s">
        <v>126</v>
      </c>
      <c r="H24" s="7" t="s">
        <v>127</v>
      </c>
      <c r="I24" s="7"/>
      <c r="J24" s="7"/>
      <c r="K24" s="7" t="s">
        <v>128</v>
      </c>
      <c r="L24" s="7" t="str">
        <f aca="false">SUBSTITUTE(SUBSTITUTE(SUBSTITUTE(SUBSTITUTE($H24,"(",""),")","")," ",""),"-","")</f>
        <v>47999188474</v>
      </c>
      <c r="M24" s="7" t="str">
        <f aca="false">SUBSTITUTE(SUBSTITUTE(SUBSTITUTE(SUBSTITUTE($I24,"(",""),")","")," ",""),"-","")</f>
        <v/>
      </c>
      <c r="N24" s="7" t="str">
        <f aca="false">IF(LEN($L24)=11,$L24,IF(LEN($M24)=11,$M24,""))</f>
        <v>47999188474</v>
      </c>
      <c r="O24" s="8" t="str">
        <f aca="false">IF($N24="","",HYPERLINK("https://wa.me/55"&amp;$N24,"Abrir conversa"))</f>
        <v>Abrir conversa</v>
      </c>
      <c r="P24" s="7" t="str">
        <f aca="false">SUBSTITUTE(INDEX(Mensagens!$D$2:$D$12,MATCH($K24,Mensagens!$A$2:$A$12,0)),"[nome]",$C24)</f>
        <v>Bom dia, American Hostel! Aqui é o Luis Carlos, da lavanderia do Posto Zandoná, na Ottokar Doerffel, 1489.
É autosserviço — vocês mesmos usam as máquinas — mas são industriais: o enxoval de uma diária inteira vai de uma vez e sai seco na secadora em cerca de uma hora. Nada de lençol pendurado três dias no inverno.
Abrimos das 6h às 22h, com estacionamento na porta. E para empresa eu faturo no mês, com nota.
Queria te dar a primeira lavagem por conta da casa, pra vocês medirem quanto tempo economiza. Posso deixar o cupom aí?</v>
      </c>
      <c r="Q24" s="9" t="s">
        <v>48</v>
      </c>
      <c r="R24" s="9"/>
    </row>
    <row r="25" customFormat="false" ht="55.5" hidden="false" customHeight="true" outlineLevel="0" collapsed="false">
      <c r="A25" s="7" t="s">
        <v>40</v>
      </c>
      <c r="B25" s="7" t="s">
        <v>63</v>
      </c>
      <c r="C25" s="7" t="s">
        <v>129</v>
      </c>
      <c r="D25" s="7"/>
      <c r="E25" s="7"/>
      <c r="F25" s="7" t="s">
        <v>125</v>
      </c>
      <c r="G25" s="7" t="s">
        <v>126</v>
      </c>
      <c r="H25" s="7"/>
      <c r="I25" s="7"/>
      <c r="J25" s="7"/>
      <c r="K25" s="7" t="s">
        <v>67</v>
      </c>
      <c r="L25" s="7" t="str">
        <f aca="false">SUBSTITUTE(SUBSTITUTE(SUBSTITUTE(SUBSTITUTE($H25,"(",""),")","")," ",""),"-","")</f>
        <v/>
      </c>
      <c r="M25" s="7" t="str">
        <f aca="false">SUBSTITUTE(SUBSTITUTE(SUBSTITUTE(SUBSTITUTE($I25,"(",""),")","")," ",""),"-","")</f>
        <v/>
      </c>
      <c r="N25" s="7" t="str">
        <f aca="false">IF(LEN($L25)=11,$L25,IF(LEN($M25)=11,$M25,""))</f>
        <v/>
      </c>
      <c r="O25" s="8" t="str">
        <f aca="false">IF($N25="","",HYPERLINK("https://wa.me/55"&amp;$N25,"Abrir conversa"))</f>
        <v/>
      </c>
      <c r="P25" s="7" t="str">
        <f aca="false">SUBSTITUTE(INDEX(Mensagens!$D$2:$D$12,MATCH($K25,Mensagens!$A$2:$A$12,0)),"[nome]",$C25)</f>
        <v>Bom dia! Sou o Luis Carlos, da lavanderia do Posto Zandoná, aqui na Ottokar Doerffel, 1489 — pertinho do prédio.
É autosserviço com máquina industrial, das 6h às 22h. O que mais traz morador daqui é edredom, cobertor e tapete, que não entram na máquina de apartamento.
Vi que o Edificio Prinz Mercure (zelador/sindico) tem bastante studio alugado por temporada, e esse pessoal vira enxoval toda semana.
Posso deixar cupons de primeira lavagem grátis na portaria pros moradores, e um cartaz pequeno no mural se o síndico autorizar?</v>
      </c>
      <c r="Q25" s="9" t="s">
        <v>48</v>
      </c>
      <c r="R25" s="9"/>
    </row>
    <row r="26" customFormat="false" ht="55.5" hidden="false" customHeight="true" outlineLevel="0" collapsed="false">
      <c r="A26" s="7" t="s">
        <v>40</v>
      </c>
      <c r="B26" s="7" t="s">
        <v>130</v>
      </c>
      <c r="C26" s="7" t="s">
        <v>131</v>
      </c>
      <c r="D26" s="7"/>
      <c r="E26" s="7" t="s">
        <v>132</v>
      </c>
      <c r="F26" s="7" t="s">
        <v>133</v>
      </c>
      <c r="G26" s="7" t="s">
        <v>126</v>
      </c>
      <c r="H26" s="7"/>
      <c r="I26" s="7"/>
      <c r="J26" s="7" t="s">
        <v>134</v>
      </c>
      <c r="K26" s="7" t="s">
        <v>135</v>
      </c>
      <c r="L26" s="7" t="str">
        <f aca="false">SUBSTITUTE(SUBSTITUTE(SUBSTITUTE(SUBSTITUTE($H26,"(",""),")","")," ",""),"-","")</f>
        <v/>
      </c>
      <c r="M26" s="7" t="str">
        <f aca="false">SUBSTITUTE(SUBSTITUTE(SUBSTITUTE(SUBSTITUTE($I26,"(",""),")","")," ",""),"-","")</f>
        <v/>
      </c>
      <c r="N26" s="7" t="str">
        <f aca="false">IF(LEN($L26)=11,$L26,IF(LEN($M26)=11,$M26,""))</f>
        <v/>
      </c>
      <c r="O26" s="8" t="str">
        <f aca="false">IF($N26="","",HYPERLINK("https://wa.me/55"&amp;$N26,"Abrir conversa"))</f>
        <v/>
      </c>
      <c r="P26" s="7" t="str">
        <f aca="false">SUBSTITUTE(INDEX(Mensagens!$D$2:$D$12,MATCH($K26,Mensagens!$A$2:$A$12,0)),"[nome]",$C26)</f>
        <v>Bom dia, IVVI - flats de short stay. Sou o Luis Carlos, da lavanderia do Posto Zandoná (Ottokar Doerffel, 1489, Anita Garibaldi).
Autosserviço com máquinas industriais: a equipe de limpeza de vocês resolve o enxoval de vários imóveis numa parada só — lava e seca em cerca de uma hora, das 6h às 22h, com estacionamento na porta.
Pra quem administra carteira eu abro conta faturada: a equipe usa as máquinas o mês todo e vocês recebem uma nota só no fechamento, sem ninguém pagando do próprio bolso e pedindo reembolso depois.
Topa testar com um imóvel? A primeira lavagem é por minha conta.</v>
      </c>
      <c r="Q26" s="9" t="s">
        <v>48</v>
      </c>
      <c r="R26" s="9"/>
    </row>
    <row r="27" customFormat="false" ht="55.5" hidden="false" customHeight="true" outlineLevel="0" collapsed="false">
      <c r="A27" s="7" t="s">
        <v>40</v>
      </c>
      <c r="B27" s="7" t="s">
        <v>121</v>
      </c>
      <c r="C27" s="7" t="s">
        <v>136</v>
      </c>
      <c r="D27" s="7" t="s">
        <v>137</v>
      </c>
      <c r="E27" s="7" t="s">
        <v>138</v>
      </c>
      <c r="F27" s="7" t="s">
        <v>44</v>
      </c>
      <c r="G27" s="7" t="s">
        <v>126</v>
      </c>
      <c r="H27" s="7" t="s">
        <v>139</v>
      </c>
      <c r="I27" s="7"/>
      <c r="J27" s="7"/>
      <c r="K27" s="7" t="s">
        <v>128</v>
      </c>
      <c r="L27" s="7" t="str">
        <f aca="false">SUBSTITUTE(SUBSTITUTE(SUBSTITUTE(SUBSTITUTE($H27,"(",""),")","")," ",""),"-","")</f>
        <v>4732278462</v>
      </c>
      <c r="M27" s="7" t="str">
        <f aca="false">SUBSTITUTE(SUBSTITUTE(SUBSTITUTE(SUBSTITUTE($I27,"(",""),")","")," ",""),"-","")</f>
        <v/>
      </c>
      <c r="N27" s="7" t="str">
        <f aca="false">IF(LEN($L27)=11,$L27,IF(LEN($M27)=11,$M27,""))</f>
        <v/>
      </c>
      <c r="O27" s="8" t="str">
        <f aca="false">IF($N27="","",HYPERLINK("https://wa.me/55"&amp;$N27,"Abrir conversa"))</f>
        <v/>
      </c>
      <c r="P27" s="7" t="str">
        <f aca="false">SUBSTITUTE(INDEX(Mensagens!$D$2:$D$12,MATCH($K27,Mensagens!$A$2:$A$12,0)),"[nome]",$C27)</f>
        <v>Bom dia, Pousada Ipanema! Aqui é o Luis Carlos, da lavanderia do Posto Zandoná, na Ottokar Doerffel, 1489.
É autosserviço — vocês mesmos usam as máquinas — mas são industriais: o enxoval de uma diária inteira vai de uma vez e sai seco na secadora em cerca de uma hora. Nada de lençol pendurado três dias no inverno.
Abrimos das 6h às 22h, com estacionamento na porta. E para empresa eu faturo no mês, com nota.
Queria te dar a primeira lavagem por conta da casa, pra vocês medirem quanto tempo economiza. Posso deixar o cupom aí?</v>
      </c>
      <c r="Q27" s="9" t="s">
        <v>48</v>
      </c>
      <c r="R27" s="9"/>
    </row>
    <row r="28" customFormat="false" ht="55.5" hidden="false" customHeight="true" outlineLevel="0" collapsed="false">
      <c r="A28" s="7" t="s">
        <v>40</v>
      </c>
      <c r="B28" s="7" t="s">
        <v>121</v>
      </c>
      <c r="C28" s="7" t="s">
        <v>140</v>
      </c>
      <c r="D28" s="7" t="s">
        <v>137</v>
      </c>
      <c r="E28" s="7" t="s">
        <v>141</v>
      </c>
      <c r="F28" s="7" t="s">
        <v>44</v>
      </c>
      <c r="G28" s="7" t="s">
        <v>126</v>
      </c>
      <c r="H28" s="7" t="s">
        <v>142</v>
      </c>
      <c r="I28" s="7"/>
      <c r="J28" s="7"/>
      <c r="K28" s="7" t="s">
        <v>128</v>
      </c>
      <c r="L28" s="7" t="str">
        <f aca="false">SUBSTITUTE(SUBSTITUTE(SUBSTITUTE(SUBSTITUTE($H28,"(",""),")","")," ",""),"-","")</f>
        <v>47988162760</v>
      </c>
      <c r="M28" s="7" t="str">
        <f aca="false">SUBSTITUTE(SUBSTITUTE(SUBSTITUTE(SUBSTITUTE($I28,"(",""),")","")," ",""),"-","")</f>
        <v/>
      </c>
      <c r="N28" s="7" t="str">
        <f aca="false">IF(LEN($L28)=11,$L28,IF(LEN($M28)=11,$M28,""))</f>
        <v>47988162760</v>
      </c>
      <c r="O28" s="8" t="str">
        <f aca="false">IF($N28="","",HYPERLINK("https://wa.me/55"&amp;$N28,"Abrir conversa"))</f>
        <v>Abrir conversa</v>
      </c>
      <c r="P28" s="7" t="str">
        <f aca="false">SUBSTITUTE(INDEX(Mensagens!$D$2:$D$12,MATCH($K28,Mensagens!$A$2:$A$12,0)),"[nome]",$C28)</f>
        <v>Bom dia, Pousada Joinvilense! Aqui é o Luis Carlos, da lavanderia do Posto Zandoná, na Ottokar Doerffel, 1489.
É autosserviço — vocês mesmos usam as máquinas — mas são industriais: o enxoval de uma diária inteira vai de uma vez e sai seco na secadora em cerca de uma hora. Nada de lençol pendurado três dias no inverno.
Abrimos das 6h às 22h, com estacionamento na porta. E para empresa eu faturo no mês, com nota.
Queria te dar a primeira lavagem por conta da casa, pra vocês medirem quanto tempo economiza. Posso deixar o cupom aí?</v>
      </c>
      <c r="Q28" s="9" t="s">
        <v>48</v>
      </c>
      <c r="R28" s="9"/>
    </row>
    <row r="29" customFormat="false" ht="55.5" hidden="false" customHeight="true" outlineLevel="0" collapsed="false">
      <c r="A29" s="7" t="s">
        <v>40</v>
      </c>
      <c r="B29" s="7" t="s">
        <v>143</v>
      </c>
      <c r="C29" s="7" t="s">
        <v>144</v>
      </c>
      <c r="D29" s="7"/>
      <c r="E29" s="7" t="s">
        <v>145</v>
      </c>
      <c r="F29" s="7" t="s">
        <v>146</v>
      </c>
      <c r="G29" s="7" t="s">
        <v>126</v>
      </c>
      <c r="H29" s="7" t="s">
        <v>147</v>
      </c>
      <c r="I29" s="7"/>
      <c r="J29" s="7"/>
      <c r="K29" s="7" t="s">
        <v>148</v>
      </c>
      <c r="L29" s="7" t="str">
        <f aca="false">SUBSTITUTE(SUBSTITUTE(SUBSTITUTE(SUBSTITUTE($H29,"(",""),")","")," ",""),"-","")</f>
        <v>47996240990</v>
      </c>
      <c r="M29" s="7" t="str">
        <f aca="false">SUBSTITUTE(SUBSTITUTE(SUBSTITUTE(SUBSTITUTE($I29,"(",""),")","")," ",""),"-","")</f>
        <v/>
      </c>
      <c r="N29" s="7" t="str">
        <f aca="false">IF(LEN($L29)=11,$L29,IF(LEN($M29)=11,$M29,""))</f>
        <v>47996240990</v>
      </c>
      <c r="O29" s="8" t="str">
        <f aca="false">IF($N29="","",HYPERLINK("https://wa.me/55"&amp;$N29,"Abrir conversa"))</f>
        <v>Abrir conversa</v>
      </c>
      <c r="P29" s="7" t="str">
        <f aca="false">SUBSTITUTE(INDEX(Mensagens!$D$2:$D$12,MATCH($K29,Mensagens!$A$2:$A$12,0)),"[nome]",$C29)</f>
        <v>Bom dia, eu gostaria de falar com a administração, por favor.
Somos a lavanderia do Posto Zandoná, na Ottokar Doerffel. Autosserviço com máquinas industriais, das 6h às 22h, e trabalhamos com conta faturada mensal e nota fiscal para instituições.
A ideia é simples: em vez de manter máquina doméstica rodando o dia inteiro, a funcionária traz o enxoval duas ou três vezes por semana e resolve tudo de uma vez — inclusive cobertor e edredom, que é o que mais trava lavanderia interna no inverno.
Posso passar os valores pra vocês compararem com o custo cheio de lavar internamente: energia, água, produto, manutenção da máquina e as horas da funcionária?</v>
      </c>
      <c r="Q29" s="9" t="s">
        <v>48</v>
      </c>
      <c r="R29" s="9"/>
    </row>
    <row r="30" customFormat="false" ht="55.5" hidden="false" customHeight="true" outlineLevel="0" collapsed="false">
      <c r="A30" s="7" t="s">
        <v>97</v>
      </c>
      <c r="B30" s="7" t="s">
        <v>63</v>
      </c>
      <c r="C30" s="7" t="s">
        <v>149</v>
      </c>
      <c r="D30" s="7"/>
      <c r="E30" s="7" t="s">
        <v>150</v>
      </c>
      <c r="F30" s="7" t="s">
        <v>151</v>
      </c>
      <c r="G30" s="7" t="s">
        <v>126</v>
      </c>
      <c r="H30" s="7"/>
      <c r="I30" s="7"/>
      <c r="J30" s="7" t="s">
        <v>152</v>
      </c>
      <c r="K30" s="7" t="s">
        <v>67</v>
      </c>
      <c r="L30" s="7" t="str">
        <f aca="false">SUBSTITUTE(SUBSTITUTE(SUBSTITUTE(SUBSTITUTE($H30,"(",""),")","")," ",""),"-","")</f>
        <v/>
      </c>
      <c r="M30" s="7" t="str">
        <f aca="false">SUBSTITUTE(SUBSTITUTE(SUBSTITUTE(SUBSTITUTE($I30,"(",""),")","")," ",""),"-","")</f>
        <v/>
      </c>
      <c r="N30" s="7" t="str">
        <f aca="false">IF(LEN($L30)=11,$L30,IF(LEN($M30)=11,$M30,""))</f>
        <v/>
      </c>
      <c r="O30" s="8" t="str">
        <f aca="false">IF($N30="","",HYPERLINK("https://wa.me/55"&amp;$N30,"Abrir conversa"))</f>
        <v/>
      </c>
      <c r="P30" s="7" t="str">
        <f aca="false">SUBSTITUTE(INDEX(Mensagens!$D$2:$D$12,MATCH($K30,Mensagens!$A$2:$A$12,0)),"[nome]",$C30)</f>
        <v>Bom dia! Sou o Luis Carlos, da lavanderia do Posto Zandoná, aqui na Ottokar Doerffel, 1489 — pertinho do prédio.
É autosserviço com máquina industrial, das 6h às 22h. O que mais traz morador daqui é edredom, cobertor e tapete, que não entram na máquina de apartamento.
Vi que o AP London tem bastante studio alugado por temporada, e esse pessoal vira enxoval toda semana.
Posso deixar cupons de primeira lavagem grátis na portaria pros moradores, e um cartaz pequeno no mural se o síndico autorizar?</v>
      </c>
      <c r="Q30" s="9" t="s">
        <v>48</v>
      </c>
      <c r="R30" s="9"/>
    </row>
    <row r="31" customFormat="false" ht="55.5" hidden="false" customHeight="true" outlineLevel="0" collapsed="false">
      <c r="A31" s="7" t="s">
        <v>97</v>
      </c>
      <c r="B31" s="7" t="s">
        <v>153</v>
      </c>
      <c r="C31" s="7" t="s">
        <v>154</v>
      </c>
      <c r="D31" s="7"/>
      <c r="E31" s="7" t="s">
        <v>155</v>
      </c>
      <c r="F31" s="7" t="s">
        <v>151</v>
      </c>
      <c r="G31" s="7" t="s">
        <v>126</v>
      </c>
      <c r="H31" s="7" t="s">
        <v>156</v>
      </c>
      <c r="I31" s="7"/>
      <c r="J31" s="7"/>
      <c r="K31" s="7" t="s">
        <v>157</v>
      </c>
      <c r="L31" s="7" t="str">
        <f aca="false">SUBSTITUTE(SUBSTITUTE(SUBSTITUTE(SUBSTITUTE($H31,"(",""),")","")," ",""),"-","")</f>
        <v>4730283771</v>
      </c>
      <c r="M31" s="7" t="str">
        <f aca="false">SUBSTITUTE(SUBSTITUTE(SUBSTITUTE(SUBSTITUTE($I31,"(",""),")","")," ",""),"-","")</f>
        <v/>
      </c>
      <c r="N31" s="7" t="str">
        <f aca="false">IF(LEN($L31)=11,$L31,IF(LEN($M31)=11,$M31,""))</f>
        <v/>
      </c>
      <c r="O31" s="8" t="str">
        <f aca="false">IF($N31="","",HYPERLINK("https://wa.me/55"&amp;$N31,"Abrir conversa"))</f>
        <v/>
      </c>
      <c r="P31" s="7" t="str">
        <f aca="false">SUBSTITUTE(INDEX(Mensagens!$D$2:$D$12,MATCH($K31,Mensagens!$A$2:$A$12,0)),"[nome]",$C31)</f>
        <v>Oi, posso falar com o responsável? Sou o Luis Carlos, da lavanderia do Posto Zandoná, na Ottokar Doerffel, 1489.
Autosserviço com máquinas industriais, das 6h às 22h — pega antes de abrir e depois de fechar. Pano de copa, avental e toalha de mesa lavam e secam numa parada só.
O que costuma resolver é não depender mais de alguém levar pra lavar em casa no fim de semana. E pra empresa eu faturo no mês, com nota.
Quer testar com a primeira lavagem por minha conta?</v>
      </c>
      <c r="Q31" s="9" t="s">
        <v>48</v>
      </c>
      <c r="R31" s="9"/>
    </row>
    <row r="32" customFormat="false" ht="55.5" hidden="false" customHeight="true" outlineLevel="0" collapsed="false">
      <c r="A32" s="7" t="s">
        <v>97</v>
      </c>
      <c r="B32" s="7" t="s">
        <v>153</v>
      </c>
      <c r="C32" s="7" t="s">
        <v>158</v>
      </c>
      <c r="D32" s="7"/>
      <c r="E32" s="7" t="s">
        <v>159</v>
      </c>
      <c r="F32" s="7" t="s">
        <v>151</v>
      </c>
      <c r="G32" s="7" t="s">
        <v>126</v>
      </c>
      <c r="H32" s="7" t="s">
        <v>160</v>
      </c>
      <c r="I32" s="7"/>
      <c r="J32" s="7"/>
      <c r="K32" s="7" t="s">
        <v>157</v>
      </c>
      <c r="L32" s="7" t="str">
        <f aca="false">SUBSTITUTE(SUBSTITUTE(SUBSTITUTE(SUBSTITUTE($H32,"(",""),")","")," ",""),"-","")</f>
        <v>4730277727</v>
      </c>
      <c r="M32" s="7" t="str">
        <f aca="false">SUBSTITUTE(SUBSTITUTE(SUBSTITUTE(SUBSTITUTE($I32,"(",""),")","")," ",""),"-","")</f>
        <v/>
      </c>
      <c r="N32" s="7" t="str">
        <f aca="false">IF(LEN($L32)=11,$L32,IF(LEN($M32)=11,$M32,""))</f>
        <v/>
      </c>
      <c r="O32" s="8" t="str">
        <f aca="false">IF($N32="","",HYPERLINK("https://wa.me/55"&amp;$N32,"Abrir conversa"))</f>
        <v/>
      </c>
      <c r="P32" s="7" t="str">
        <f aca="false">SUBSTITUTE(INDEX(Mensagens!$D$2:$D$12,MATCH($K32,Mensagens!$A$2:$A$12,0)),"[nome]",$C32)</f>
        <v>Oi, posso falar com o responsável? Sou o Luis Carlos, da lavanderia do Posto Zandoná, na Ottokar Doerffel, 1489.
Autosserviço com máquinas industriais, das 6h às 22h — pega antes de abrir e depois de fechar. Pano de copa, avental e toalha de mesa lavam e secam numa parada só.
O que costuma resolver é não depender mais de alguém levar pra lavar em casa no fim de semana. E pra empresa eu faturo no mês, com nota.
Quer testar com a primeira lavagem por minha conta?</v>
      </c>
      <c r="Q32" s="9" t="s">
        <v>48</v>
      </c>
      <c r="R32" s="9"/>
    </row>
    <row r="33" customFormat="false" ht="55.5" hidden="false" customHeight="true" outlineLevel="0" collapsed="false">
      <c r="A33" s="7" t="s">
        <v>97</v>
      </c>
      <c r="B33" s="7" t="s">
        <v>85</v>
      </c>
      <c r="C33" s="7" t="s">
        <v>161</v>
      </c>
      <c r="D33" s="7"/>
      <c r="E33" s="7" t="s">
        <v>162</v>
      </c>
      <c r="F33" s="7" t="s">
        <v>125</v>
      </c>
      <c r="G33" s="7" t="s">
        <v>126</v>
      </c>
      <c r="H33" s="7" t="s">
        <v>163</v>
      </c>
      <c r="I33" s="7" t="s">
        <v>164</v>
      </c>
      <c r="J33" s="7"/>
      <c r="K33" s="7" t="s">
        <v>89</v>
      </c>
      <c r="L33" s="7" t="str">
        <f aca="false">SUBSTITUTE(SUBSTITUTE(SUBSTITUTE(SUBSTITUTE($H33,"(",""),")","")," ",""),"-","")</f>
        <v>4734321792</v>
      </c>
      <c r="M33" s="7" t="str">
        <f aca="false">SUBSTITUTE(SUBSTITUTE(SUBSTITUTE(SUBSTITUTE($I33,"(",""),")","")," ",""),"-","")</f>
        <v>47997515499</v>
      </c>
      <c r="N33" s="7" t="str">
        <f aca="false">IF(LEN($L33)=11,$L33,IF(LEN($M33)=11,$M33,""))</f>
        <v>47997515499</v>
      </c>
      <c r="O33" s="8" t="str">
        <f aca="false">IF($N33="","",HYPERLINK("https://wa.me/55"&amp;$N33,"Abrir conversa"))</f>
        <v>Abrir conversa</v>
      </c>
      <c r="P33" s="7" t="str">
        <f aca="false">SUBSTITUTE(INDEX(Mensagens!$D$2:$D$12,MATCH($K33,Mensagens!$A$2:$A$12,0)),"[nome]",$C33)</f>
        <v>Oi, tudo bem? Sou o Luis Carlos, da lavanderia aqui do Posto Zandoná, na Ottokar Doerffel — a poucos minutos daqui.
Autosserviço, com máquina e secadora industrial. Pra banho e tosa o ganho é a secadora: a toalha sai seca na hora, não fica aquele monte pendurado esperando e azedando.
Abrimos às 6h, dá pra resolver antes de abrir a loja, e tem estacionamento na porta.
Primeira lavagem por minha conta — quer que eu deixe o cupom aqui?</v>
      </c>
      <c r="Q33" s="9" t="s">
        <v>48</v>
      </c>
      <c r="R33" s="9"/>
    </row>
    <row r="34" customFormat="false" ht="55.5" hidden="false" customHeight="true" outlineLevel="0" collapsed="false">
      <c r="A34" s="7" t="s">
        <v>97</v>
      </c>
      <c r="B34" s="7" t="s">
        <v>85</v>
      </c>
      <c r="C34" s="7" t="s">
        <v>165</v>
      </c>
      <c r="D34" s="7"/>
      <c r="E34" s="7" t="s">
        <v>166</v>
      </c>
      <c r="F34" s="7" t="s">
        <v>125</v>
      </c>
      <c r="G34" s="7" t="s">
        <v>126</v>
      </c>
      <c r="H34" s="7" t="s">
        <v>167</v>
      </c>
      <c r="I34" s="7" t="s">
        <v>168</v>
      </c>
      <c r="J34" s="7"/>
      <c r="K34" s="7" t="s">
        <v>89</v>
      </c>
      <c r="L34" s="7" t="str">
        <f aca="false">SUBSTITUTE(SUBSTITUTE(SUBSTITUTE(SUBSTITUTE($H34,"(",""),")","")," ",""),"-","")</f>
        <v>4730237320</v>
      </c>
      <c r="M34" s="7" t="str">
        <f aca="false">SUBSTITUTE(SUBSTITUTE(SUBSTITUTE(SUBSTITUTE($I34,"(",""),")","")," ",""),"-","")</f>
        <v>47997830156</v>
      </c>
      <c r="N34" s="7" t="str">
        <f aca="false">IF(LEN($L34)=11,$L34,IF(LEN($M34)=11,$M34,""))</f>
        <v>47997830156</v>
      </c>
      <c r="O34" s="8" t="str">
        <f aca="false">IF($N34="","",HYPERLINK("https://wa.me/55"&amp;$N34,"Abrir conversa"))</f>
        <v>Abrir conversa</v>
      </c>
      <c r="P34" s="7" t="str">
        <f aca="false">SUBSTITUTE(INDEX(Mensagens!$D$2:$D$12,MATCH($K34,Mensagens!$A$2:$A$12,0)),"[nome]",$C34)</f>
        <v>Oi, tudo bem? Sou o Luis Carlos, da lavanderia aqui do Posto Zandoná, na Ottokar Doerffel — a poucos minutos daqui.
Autosserviço, com máquina e secadora industrial. Pra banho e tosa o ganho é a secadora: a toalha sai seca na hora, não fica aquele monte pendurado esperando e azedando.
Abrimos às 6h, dá pra resolver antes de abrir a loja, e tem estacionamento na porta.
Primeira lavagem por minha conta — quer que eu deixe o cupom aqui?</v>
      </c>
      <c r="Q34" s="9" t="s">
        <v>48</v>
      </c>
      <c r="R34" s="9"/>
    </row>
    <row r="35" customFormat="false" ht="55.5" hidden="false" customHeight="true" outlineLevel="0" collapsed="false">
      <c r="A35" s="7" t="s">
        <v>97</v>
      </c>
      <c r="B35" s="7" t="s">
        <v>153</v>
      </c>
      <c r="C35" s="7" t="s">
        <v>169</v>
      </c>
      <c r="D35" s="7"/>
      <c r="E35" s="7" t="s">
        <v>170</v>
      </c>
      <c r="F35" s="7" t="s">
        <v>151</v>
      </c>
      <c r="G35" s="7" t="s">
        <v>126</v>
      </c>
      <c r="H35" s="7" t="s">
        <v>171</v>
      </c>
      <c r="I35" s="7"/>
      <c r="J35" s="7"/>
      <c r="K35" s="7" t="s">
        <v>157</v>
      </c>
      <c r="L35" s="7" t="str">
        <f aca="false">SUBSTITUTE(SUBSTITUTE(SUBSTITUTE(SUBSTITUTE($H35,"(",""),")","")," ",""),"-","")</f>
        <v>4730281868</v>
      </c>
      <c r="M35" s="7" t="str">
        <f aca="false">SUBSTITUTE(SUBSTITUTE(SUBSTITUTE(SUBSTITUTE($I35,"(",""),")","")," ",""),"-","")</f>
        <v/>
      </c>
      <c r="N35" s="7" t="str">
        <f aca="false">IF(LEN($L35)=11,$L35,IF(LEN($M35)=11,$M35,""))</f>
        <v/>
      </c>
      <c r="O35" s="8" t="str">
        <f aca="false">IF($N35="","",HYPERLINK("https://wa.me/55"&amp;$N35,"Abrir conversa"))</f>
        <v/>
      </c>
      <c r="P35" s="7" t="str">
        <f aca="false">SUBSTITUTE(INDEX(Mensagens!$D$2:$D$12,MATCH($K35,Mensagens!$A$2:$A$12,0)),"[nome]",$C35)</f>
        <v>Oi, posso falar com o responsável? Sou o Luis Carlos, da lavanderia do Posto Zandoná, na Ottokar Doerffel, 1489.
Autosserviço com máquinas industriais, das 6h às 22h — pega antes de abrir e depois de fechar. Pano de copa, avental e toalha de mesa lavam e secam numa parada só.
O que costuma resolver é não depender mais de alguém levar pra lavar em casa no fim de semana. E pra empresa eu faturo no mês, com nota.
Quer testar com a primeira lavagem por minha conta?</v>
      </c>
      <c r="Q35" s="9" t="s">
        <v>48</v>
      </c>
      <c r="R35" s="9"/>
    </row>
    <row r="36" customFormat="false" ht="55.5" hidden="false" customHeight="true" outlineLevel="0" collapsed="false">
      <c r="A36" s="7" t="s">
        <v>97</v>
      </c>
      <c r="B36" s="7" t="s">
        <v>41</v>
      </c>
      <c r="C36" s="7" t="s">
        <v>172</v>
      </c>
      <c r="D36" s="7"/>
      <c r="E36" s="7" t="s">
        <v>173</v>
      </c>
      <c r="F36" s="7" t="s">
        <v>44</v>
      </c>
      <c r="G36" s="7" t="s">
        <v>126</v>
      </c>
      <c r="H36" s="7"/>
      <c r="I36" s="7"/>
      <c r="J36" s="7"/>
      <c r="K36" s="7" t="s">
        <v>47</v>
      </c>
      <c r="L36" s="7" t="str">
        <f aca="false">SUBSTITUTE(SUBSTITUTE(SUBSTITUTE(SUBSTITUTE($H36,"(",""),")","")," ",""),"-","")</f>
        <v/>
      </c>
      <c r="M36" s="7" t="str">
        <f aca="false">SUBSTITUTE(SUBSTITUTE(SUBSTITUTE(SUBSTITUTE($I36,"(",""),")","")," ",""),"-","")</f>
        <v/>
      </c>
      <c r="N36" s="7" t="str">
        <f aca="false">IF(LEN($L36)=11,$L36,IF(LEN($M36)=11,$M36,""))</f>
        <v/>
      </c>
      <c r="O36" s="8" t="str">
        <f aca="false">IF($N36="","",HYPERLINK("https://wa.me/55"&amp;$N36,"Abrir conversa"))</f>
        <v/>
      </c>
      <c r="P36" s="7" t="str">
        <f aca="false">SUBSTITUTE(INDEX(Mensagens!$D$2:$D$12,MATCH($K36,Mensagens!$A$2:$A$12,0)),"[nome]",$C36)</f>
        <v>Oi, tudo bem? Sou o Luis Carlos, da lavanderia do Posto Zandoná, aqui na Ottokar Doerffel.
Autosserviço com máquina e secadora industrial. Pra salão o ponto é a secadora: toalha que seca no varal fica dura e com cheiro de úmido; na secadora volta macia no mesmo dia.
É uma parada de uma hora por semana, e ninguém da equipe precisa levar sacola pra casa.
Deixo a primeira lavagem por minha conta pra você comparar. Pode ser?</v>
      </c>
      <c r="Q36" s="9" t="s">
        <v>48</v>
      </c>
      <c r="R36" s="9"/>
    </row>
    <row r="37" customFormat="false" ht="55.5" hidden="false" customHeight="true" outlineLevel="0" collapsed="false">
      <c r="A37" s="7" t="s">
        <v>97</v>
      </c>
      <c r="B37" s="7" t="s">
        <v>85</v>
      </c>
      <c r="C37" s="7" t="s">
        <v>174</v>
      </c>
      <c r="D37" s="7"/>
      <c r="E37" s="7" t="s">
        <v>175</v>
      </c>
      <c r="F37" s="7" t="s">
        <v>125</v>
      </c>
      <c r="G37" s="7" t="s">
        <v>126</v>
      </c>
      <c r="H37" s="7"/>
      <c r="I37" s="7"/>
      <c r="J37" s="7"/>
      <c r="K37" s="7" t="s">
        <v>89</v>
      </c>
      <c r="L37" s="7" t="str">
        <f aca="false">SUBSTITUTE(SUBSTITUTE(SUBSTITUTE(SUBSTITUTE($H37,"(",""),")","")," ",""),"-","")</f>
        <v/>
      </c>
      <c r="M37" s="7" t="str">
        <f aca="false">SUBSTITUTE(SUBSTITUTE(SUBSTITUTE(SUBSTITUTE($I37,"(",""),")","")," ",""),"-","")</f>
        <v/>
      </c>
      <c r="N37" s="7" t="str">
        <f aca="false">IF(LEN($L37)=11,$L37,IF(LEN($M37)=11,$M37,""))</f>
        <v/>
      </c>
      <c r="O37" s="8" t="str">
        <f aca="false">IF($N37="","",HYPERLINK("https://wa.me/55"&amp;$N37,"Abrir conversa"))</f>
        <v/>
      </c>
      <c r="P37" s="7" t="str">
        <f aca="false">SUBSTITUTE(INDEX(Mensagens!$D$2:$D$12,MATCH($K37,Mensagens!$A$2:$A$12,0)),"[nome]",$C37)</f>
        <v>Oi, tudo bem? Sou o Luis Carlos, da lavanderia aqui do Posto Zandoná, na Ottokar Doerffel — a poucos minutos daqui.
Autosserviço, com máquina e secadora industrial. Pra banho e tosa o ganho é a secadora: a toalha sai seca na hora, não fica aquele monte pendurado esperando e azedando.
Abrimos às 6h, dá pra resolver antes de abrir a loja, e tem estacionamento na porta.
Primeira lavagem por minha conta — quer que eu deixe o cupom aqui?</v>
      </c>
      <c r="Q37" s="9" t="s">
        <v>48</v>
      </c>
      <c r="R37" s="9"/>
    </row>
    <row r="38" customFormat="false" ht="55.5" hidden="false" customHeight="true" outlineLevel="0" collapsed="false">
      <c r="A38" s="7" t="s">
        <v>115</v>
      </c>
      <c r="B38" s="7" t="s">
        <v>153</v>
      </c>
      <c r="C38" s="7" t="s">
        <v>176</v>
      </c>
      <c r="D38" s="7"/>
      <c r="E38" s="7" t="s">
        <v>177</v>
      </c>
      <c r="F38" s="7" t="s">
        <v>151</v>
      </c>
      <c r="G38" s="7" t="s">
        <v>126</v>
      </c>
      <c r="H38" s="7" t="s">
        <v>178</v>
      </c>
      <c r="I38" s="7"/>
      <c r="J38" s="7"/>
      <c r="K38" s="7" t="s">
        <v>157</v>
      </c>
      <c r="L38" s="7" t="str">
        <f aca="false">SUBSTITUTE(SUBSTITUTE(SUBSTITUTE(SUBSTITUTE($H38,"(",""),")","")," ",""),"-","")</f>
        <v>4730253822</v>
      </c>
      <c r="M38" s="7" t="str">
        <f aca="false">SUBSTITUTE(SUBSTITUTE(SUBSTITUTE(SUBSTITUTE($I38,"(",""),")","")," ",""),"-","")</f>
        <v/>
      </c>
      <c r="N38" s="7" t="str">
        <f aca="false">IF(LEN($L38)=11,$L38,IF(LEN($M38)=11,$M38,""))</f>
        <v/>
      </c>
      <c r="O38" s="8" t="str">
        <f aca="false">IF($N38="","",HYPERLINK("https://wa.me/55"&amp;$N38,"Abrir conversa"))</f>
        <v/>
      </c>
      <c r="P38" s="7" t="str">
        <f aca="false">SUBSTITUTE(INDEX(Mensagens!$D$2:$D$12,MATCH($K38,Mensagens!$A$2:$A$12,0)),"[nome]",$C38)</f>
        <v>Oi, posso falar com o responsável? Sou o Luis Carlos, da lavanderia do Posto Zandoná, na Ottokar Doerffel, 1489.
Autosserviço com máquinas industriais, das 6h às 22h — pega antes de abrir e depois de fechar. Pano de copa, avental e toalha de mesa lavam e secam numa parada só.
O que costuma resolver é não depender mais de alguém levar pra lavar em casa no fim de semana. E pra empresa eu faturo no mês, com nota.
Quer testar com a primeira lavagem por minha conta?</v>
      </c>
      <c r="Q38" s="9" t="s">
        <v>48</v>
      </c>
      <c r="R38" s="9"/>
    </row>
    <row r="39" customFormat="false" ht="55.5" hidden="false" customHeight="true" outlineLevel="0" collapsed="false">
      <c r="A39" s="7" t="s">
        <v>115</v>
      </c>
      <c r="B39" s="7" t="s">
        <v>153</v>
      </c>
      <c r="C39" s="7" t="s">
        <v>179</v>
      </c>
      <c r="D39" s="7"/>
      <c r="E39" s="7" t="s">
        <v>180</v>
      </c>
      <c r="F39" s="7" t="s">
        <v>151</v>
      </c>
      <c r="G39" s="7" t="s">
        <v>126</v>
      </c>
      <c r="H39" s="7" t="s">
        <v>181</v>
      </c>
      <c r="I39" s="7"/>
      <c r="J39" s="7"/>
      <c r="K39" s="7" t="s">
        <v>157</v>
      </c>
      <c r="L39" s="7" t="str">
        <f aca="false">SUBSTITUTE(SUBSTITUTE(SUBSTITUTE(SUBSTITUTE($H39,"(",""),")","")," ",""),"-","")</f>
        <v>47988382575</v>
      </c>
      <c r="M39" s="7" t="str">
        <f aca="false">SUBSTITUTE(SUBSTITUTE(SUBSTITUTE(SUBSTITUTE($I39,"(",""),")","")," ",""),"-","")</f>
        <v/>
      </c>
      <c r="N39" s="7" t="str">
        <f aca="false">IF(LEN($L39)=11,$L39,IF(LEN($M39)=11,$M39,""))</f>
        <v>47988382575</v>
      </c>
      <c r="O39" s="8" t="str">
        <f aca="false">IF($N39="","",HYPERLINK("https://wa.me/55"&amp;$N39,"Abrir conversa"))</f>
        <v>Abrir conversa</v>
      </c>
      <c r="P39" s="7" t="str">
        <f aca="false">SUBSTITUTE(INDEX(Mensagens!$D$2:$D$12,MATCH($K39,Mensagens!$A$2:$A$12,0)),"[nome]",$C39)</f>
        <v>Oi, posso falar com o responsável? Sou o Luis Carlos, da lavanderia do Posto Zandoná, na Ottokar Doerffel, 1489.
Autosserviço com máquinas industriais, das 6h às 22h — pega antes de abrir e depois de fechar. Pano de copa, avental e toalha de mesa lavam e secam numa parada só.
O que costuma resolver é não depender mais de alguém levar pra lavar em casa no fim de semana. E pra empresa eu faturo no mês, com nota.
Quer testar com a primeira lavagem por minha conta?</v>
      </c>
      <c r="Q39" s="9" t="s">
        <v>48</v>
      </c>
      <c r="R39" s="9"/>
    </row>
    <row r="40" customFormat="false" ht="55.5" hidden="false" customHeight="true" outlineLevel="0" collapsed="false">
      <c r="A40" s="7" t="s">
        <v>40</v>
      </c>
      <c r="B40" s="7" t="s">
        <v>143</v>
      </c>
      <c r="C40" s="7" t="s">
        <v>182</v>
      </c>
      <c r="D40" s="7"/>
      <c r="E40" s="7" t="s">
        <v>183</v>
      </c>
      <c r="F40" s="7" t="s">
        <v>184</v>
      </c>
      <c r="G40" s="7" t="s">
        <v>185</v>
      </c>
      <c r="H40" s="7"/>
      <c r="I40" s="7"/>
      <c r="J40" s="7" t="s">
        <v>186</v>
      </c>
      <c r="K40" s="7" t="s">
        <v>148</v>
      </c>
      <c r="L40" s="7" t="str">
        <f aca="false">SUBSTITUTE(SUBSTITUTE(SUBSTITUTE(SUBSTITUTE($H40,"(",""),")","")," ",""),"-","")</f>
        <v/>
      </c>
      <c r="M40" s="7" t="str">
        <f aca="false">SUBSTITUTE(SUBSTITUTE(SUBSTITUTE(SUBSTITUTE($I40,"(",""),")","")," ",""),"-","")</f>
        <v/>
      </c>
      <c r="N40" s="7" t="str">
        <f aca="false">IF(LEN($L40)=11,$L40,IF(LEN($M40)=11,$M40,""))</f>
        <v/>
      </c>
      <c r="O40" s="8" t="str">
        <f aca="false">IF($N40="","",HYPERLINK("https://wa.me/55"&amp;$N40,"Abrir conversa"))</f>
        <v/>
      </c>
      <c r="P40" s="7" t="str">
        <f aca="false">SUBSTITUTE(INDEX(Mensagens!$D$2:$D$12,MATCH($K40,Mensagens!$A$2:$A$12,0)),"[nome]",$C40)</f>
        <v>Bom dia, eu gostaria de falar com a administração, por favor.
Somos a lavanderia do Posto Zandoná, na Ottokar Doerffel. Autosserviço com máquinas industriais, das 6h às 22h, e trabalhamos com conta faturada mensal e nota fiscal para instituições.
A ideia é simples: em vez de manter máquina doméstica rodando o dia inteiro, a funcionária traz o enxoval duas ou três vezes por semana e resolve tudo de uma vez — inclusive cobertor e edredom, que é o que mais trava lavanderia interna no inverno.
Posso passar os valores pra vocês compararem com o custo cheio de lavar internamente: energia, água, produto, manutenção da máquina e as horas da funcionária?</v>
      </c>
      <c r="Q40" s="9" t="s">
        <v>48</v>
      </c>
      <c r="R40" s="9"/>
    </row>
    <row r="41" customFormat="false" ht="55.5" hidden="false" customHeight="true" outlineLevel="0" collapsed="false">
      <c r="A41" s="7" t="s">
        <v>40</v>
      </c>
      <c r="B41" s="7" t="s">
        <v>143</v>
      </c>
      <c r="C41" s="7" t="s">
        <v>187</v>
      </c>
      <c r="D41" s="7"/>
      <c r="E41" s="7" t="s">
        <v>188</v>
      </c>
      <c r="F41" s="7" t="s">
        <v>189</v>
      </c>
      <c r="G41" s="7" t="s">
        <v>185</v>
      </c>
      <c r="H41" s="7"/>
      <c r="I41" s="7"/>
      <c r="J41" s="7" t="s">
        <v>190</v>
      </c>
      <c r="K41" s="7" t="s">
        <v>148</v>
      </c>
      <c r="L41" s="7" t="str">
        <f aca="false">SUBSTITUTE(SUBSTITUTE(SUBSTITUTE(SUBSTITUTE($H41,"(",""),")","")," ",""),"-","")</f>
        <v/>
      </c>
      <c r="M41" s="7" t="str">
        <f aca="false">SUBSTITUTE(SUBSTITUTE(SUBSTITUTE(SUBSTITUTE($I41,"(",""),")","")," ",""),"-","")</f>
        <v/>
      </c>
      <c r="N41" s="7" t="str">
        <f aca="false">IF(LEN($L41)=11,$L41,IF(LEN($M41)=11,$M41,""))</f>
        <v/>
      </c>
      <c r="O41" s="8" t="str">
        <f aca="false">IF($N41="","",HYPERLINK("https://wa.me/55"&amp;$N41,"Abrir conversa"))</f>
        <v/>
      </c>
      <c r="P41" s="7" t="str">
        <f aca="false">SUBSTITUTE(INDEX(Mensagens!$D$2:$D$12,MATCH($K41,Mensagens!$A$2:$A$12,0)),"[nome]",$C41)</f>
        <v>Bom dia, eu gostaria de falar com a administração, por favor.
Somos a lavanderia do Posto Zandoná, na Ottokar Doerffel. Autosserviço com máquinas industriais, das 6h às 22h, e trabalhamos com conta faturada mensal e nota fiscal para instituições.
A ideia é simples: em vez de manter máquina doméstica rodando o dia inteiro, a funcionária traz o enxoval duas ou três vezes por semana e resolve tudo de uma vez — inclusive cobertor e edredom, que é o que mais trava lavanderia interna no inverno.
Posso passar os valores pra vocês compararem com o custo cheio de lavar internamente: energia, água, produto, manutenção da máquina e as horas da funcionária?</v>
      </c>
      <c r="Q41" s="9" t="s">
        <v>48</v>
      </c>
      <c r="R41" s="9"/>
    </row>
    <row r="42" customFormat="false" ht="55.5" hidden="false" customHeight="true" outlineLevel="0" collapsed="false">
      <c r="A42" s="7" t="s">
        <v>40</v>
      </c>
      <c r="B42" s="7" t="s">
        <v>143</v>
      </c>
      <c r="C42" s="7" t="s">
        <v>191</v>
      </c>
      <c r="D42" s="7"/>
      <c r="E42" s="7" t="s">
        <v>192</v>
      </c>
      <c r="F42" s="7" t="s">
        <v>193</v>
      </c>
      <c r="G42" s="7" t="s">
        <v>185</v>
      </c>
      <c r="H42" s="7" t="s">
        <v>194</v>
      </c>
      <c r="I42" s="7"/>
      <c r="J42" s="7"/>
      <c r="K42" s="7" t="s">
        <v>148</v>
      </c>
      <c r="L42" s="7" t="str">
        <f aca="false">SUBSTITUTE(SUBSTITUTE(SUBSTITUTE(SUBSTITUTE($H42,"(",""),")","")," ",""),"-","")</f>
        <v>4730341818</v>
      </c>
      <c r="M42" s="7" t="str">
        <f aca="false">SUBSTITUTE(SUBSTITUTE(SUBSTITUTE(SUBSTITUTE($I42,"(",""),")","")," ",""),"-","")</f>
        <v/>
      </c>
      <c r="N42" s="7" t="str">
        <f aca="false">IF(LEN($L42)=11,$L42,IF(LEN($M42)=11,$M42,""))</f>
        <v/>
      </c>
      <c r="O42" s="8" t="str">
        <f aca="false">IF($N42="","",HYPERLINK("https://wa.me/55"&amp;$N42,"Abrir conversa"))</f>
        <v/>
      </c>
      <c r="P42" s="7" t="str">
        <f aca="false">SUBSTITUTE(INDEX(Mensagens!$D$2:$D$12,MATCH($K42,Mensagens!$A$2:$A$12,0)),"[nome]",$C42)</f>
        <v>Bom dia, eu gostaria de falar com a administração, por favor.
Somos a lavanderia do Posto Zandoná, na Ottokar Doerffel. Autosserviço com máquinas industriais, das 6h às 22h, e trabalhamos com conta faturada mensal e nota fiscal para instituições.
A ideia é simples: em vez de manter máquina doméstica rodando o dia inteiro, a funcionária traz o enxoval duas ou três vezes por semana e resolve tudo de uma vez — inclusive cobertor e edredom, que é o que mais trava lavanderia interna no inverno.
Posso passar os valores pra vocês compararem com o custo cheio de lavar internamente: energia, água, produto, manutenção da máquina e as horas da funcionária?</v>
      </c>
      <c r="Q42" s="9" t="s">
        <v>48</v>
      </c>
      <c r="R42" s="9"/>
    </row>
    <row r="43" customFormat="false" ht="55.5" hidden="false" customHeight="true" outlineLevel="0" collapsed="false">
      <c r="A43" s="7" t="s">
        <v>40</v>
      </c>
      <c r="B43" s="7" t="s">
        <v>130</v>
      </c>
      <c r="C43" s="7" t="s">
        <v>195</v>
      </c>
      <c r="D43" s="7"/>
      <c r="E43" s="7" t="s">
        <v>196</v>
      </c>
      <c r="F43" s="7" t="s">
        <v>189</v>
      </c>
      <c r="G43" s="7" t="s">
        <v>185</v>
      </c>
      <c r="H43" s="7" t="s">
        <v>197</v>
      </c>
      <c r="I43" s="7"/>
      <c r="J43" s="7" t="s">
        <v>198</v>
      </c>
      <c r="K43" s="7" t="s">
        <v>135</v>
      </c>
      <c r="L43" s="7" t="str">
        <f aca="false">SUBSTITUTE(SUBSTITUTE(SUBSTITUTE(SUBSTITUTE($H43,"(",""),")","")," ",""),"-","")</f>
        <v>47997880123</v>
      </c>
      <c r="M43" s="7" t="str">
        <f aca="false">SUBSTITUTE(SUBSTITUTE(SUBSTITUTE(SUBSTITUTE($I43,"(",""),")","")," ",""),"-","")</f>
        <v/>
      </c>
      <c r="N43" s="7" t="str">
        <f aca="false">IF(LEN($L43)=11,$L43,IF(LEN($M43)=11,$M43,""))</f>
        <v>47997880123</v>
      </c>
      <c r="O43" s="8" t="str">
        <f aca="false">IF($N43="","",HYPERLINK("https://wa.me/55"&amp;$N43,"Abrir conversa"))</f>
        <v>Abrir conversa</v>
      </c>
      <c r="P43" s="7" t="str">
        <f aca="false">SUBSTITUTE(INDEX(Mensagens!$D$2:$D$12,MATCH($K43,Mensagens!$A$2:$A$12,0)),"[nome]",$C43)</f>
        <v>Bom dia, FlipChave. Sou o Luis Carlos, da lavanderia do Posto Zandoná (Ottokar Doerffel, 1489, Anita Garibaldi).
Autosserviço com máquinas industriais: a equipe de limpeza de vocês resolve o enxoval de vários imóveis numa parada só — lava e seca em cerca de uma hora, das 6h às 22h, com estacionamento na porta.
Pra quem administra carteira eu abro conta faturada: a equipe usa as máquinas o mês todo e vocês recebem uma nota só no fechamento, sem ninguém pagando do próprio bolso e pedindo reembolso depois.
Topa testar com um imóvel? A primeira lavagem é por minha conta.</v>
      </c>
      <c r="Q43" s="9" t="s">
        <v>48</v>
      </c>
      <c r="R43" s="9"/>
    </row>
    <row r="44" customFormat="false" ht="55.5" hidden="false" customHeight="true" outlineLevel="0" collapsed="false">
      <c r="A44" s="7" t="s">
        <v>97</v>
      </c>
      <c r="B44" s="7" t="s">
        <v>143</v>
      </c>
      <c r="C44" s="7" t="s">
        <v>199</v>
      </c>
      <c r="D44" s="7"/>
      <c r="E44" s="7" t="s">
        <v>200</v>
      </c>
      <c r="F44" s="7" t="s">
        <v>201</v>
      </c>
      <c r="G44" s="7" t="s">
        <v>185</v>
      </c>
      <c r="H44" s="7" t="s">
        <v>202</v>
      </c>
      <c r="I44" s="7"/>
      <c r="J44" s="7"/>
      <c r="K44" s="7" t="s">
        <v>148</v>
      </c>
      <c r="L44" s="7" t="str">
        <f aca="false">SUBSTITUTE(SUBSTITUTE(SUBSTITUTE(SUBSTITUTE($H44,"(",""),")","")," ",""),"-","")</f>
        <v>4734263294</v>
      </c>
      <c r="M44" s="7" t="str">
        <f aca="false">SUBSTITUTE(SUBSTITUTE(SUBSTITUTE(SUBSTITUTE($I44,"(",""),")","")," ",""),"-","")</f>
        <v/>
      </c>
      <c r="N44" s="7" t="str">
        <f aca="false">IF(LEN($L44)=11,$L44,IF(LEN($M44)=11,$M44,""))</f>
        <v/>
      </c>
      <c r="O44" s="8" t="str">
        <f aca="false">IF($N44="","",HYPERLINK("https://wa.me/55"&amp;$N44,"Abrir conversa"))</f>
        <v/>
      </c>
      <c r="P44" s="7" t="str">
        <f aca="false">SUBSTITUTE(INDEX(Mensagens!$D$2:$D$12,MATCH($K44,Mensagens!$A$2:$A$12,0)),"[nome]",$C44)</f>
        <v>Bom dia, eu gostaria de falar com a administração, por favor.
Somos a lavanderia do Posto Zandoná, na Ottokar Doerffel. Autosserviço com máquinas industriais, das 6h às 22h, e trabalhamos com conta faturada mensal e nota fiscal para instituições.
A ideia é simples: em vez de manter máquina doméstica rodando o dia inteiro, a funcionária traz o enxoval duas ou três vezes por semana e resolve tudo de uma vez — inclusive cobertor e edredom, que é o que mais trava lavanderia interna no inverno.
Posso passar os valores pra vocês compararem com o custo cheio de lavar internamente: energia, água, produto, manutenção da máquina e as horas da funcionária?</v>
      </c>
      <c r="Q44" s="9" t="s">
        <v>48</v>
      </c>
      <c r="R44" s="9"/>
    </row>
    <row r="45" customFormat="false" ht="55.5" hidden="false" customHeight="true" outlineLevel="0" collapsed="false">
      <c r="A45" s="7" t="s">
        <v>97</v>
      </c>
      <c r="B45" s="7" t="s">
        <v>143</v>
      </c>
      <c r="C45" s="7" t="s">
        <v>203</v>
      </c>
      <c r="D45" s="7"/>
      <c r="E45" s="7" t="s">
        <v>204</v>
      </c>
      <c r="F45" s="7" t="s">
        <v>184</v>
      </c>
      <c r="G45" s="7" t="s">
        <v>185</v>
      </c>
      <c r="H45" s="7" t="s">
        <v>205</v>
      </c>
      <c r="I45" s="7"/>
      <c r="J45" s="7"/>
      <c r="K45" s="7" t="s">
        <v>148</v>
      </c>
      <c r="L45" s="7" t="str">
        <f aca="false">SUBSTITUTE(SUBSTITUTE(SUBSTITUTE(SUBSTITUTE($H45,"(",""),")","")," ",""),"-","")</f>
        <v>4732072059</v>
      </c>
      <c r="M45" s="7" t="str">
        <f aca="false">SUBSTITUTE(SUBSTITUTE(SUBSTITUTE(SUBSTITUTE($I45,"(",""),")","")," ",""),"-","")</f>
        <v/>
      </c>
      <c r="N45" s="7" t="str">
        <f aca="false">IF(LEN($L45)=11,$L45,IF(LEN($M45)=11,$M45,""))</f>
        <v/>
      </c>
      <c r="O45" s="8" t="str">
        <f aca="false">IF($N45="","",HYPERLINK("https://wa.me/55"&amp;$N45,"Abrir conversa"))</f>
        <v/>
      </c>
      <c r="P45" s="7" t="str">
        <f aca="false">SUBSTITUTE(INDEX(Mensagens!$D$2:$D$12,MATCH($K45,Mensagens!$A$2:$A$12,0)),"[nome]",$C45)</f>
        <v>Bom dia, eu gostaria de falar com a administração, por favor.
Somos a lavanderia do Posto Zandoná, na Ottokar Doerffel. Autosserviço com máquinas industriais, das 6h às 22h, e trabalhamos com conta faturada mensal e nota fiscal para instituições.
A ideia é simples: em vez de manter máquina doméstica rodando o dia inteiro, a funcionária traz o enxoval duas ou três vezes por semana e resolve tudo de uma vez — inclusive cobertor e edredom, que é o que mais trava lavanderia interna no inverno.
Posso passar os valores pra vocês compararem com o custo cheio de lavar internamente: energia, água, produto, manutenção da máquina e as horas da funcionária?</v>
      </c>
      <c r="Q45" s="9" t="s">
        <v>48</v>
      </c>
      <c r="R45" s="9"/>
    </row>
    <row r="46" customFormat="false" ht="55.5" hidden="false" customHeight="true" outlineLevel="0" collapsed="false">
      <c r="A46" s="7" t="s">
        <v>97</v>
      </c>
      <c r="B46" s="7" t="s">
        <v>57</v>
      </c>
      <c r="C46" s="7" t="s">
        <v>206</v>
      </c>
      <c r="D46" s="7"/>
      <c r="E46" s="7" t="s">
        <v>207</v>
      </c>
      <c r="F46" s="7" t="s">
        <v>184</v>
      </c>
      <c r="G46" s="7" t="s">
        <v>185</v>
      </c>
      <c r="H46" s="7" t="s">
        <v>208</v>
      </c>
      <c r="I46" s="7" t="s">
        <v>209</v>
      </c>
      <c r="J46" s="7" t="s">
        <v>210</v>
      </c>
      <c r="K46" s="7" t="s">
        <v>62</v>
      </c>
      <c r="L46" s="7" t="str">
        <f aca="false">SUBSTITUTE(SUBSTITUTE(SUBSTITUTE(SUBSTITUTE($H46,"(",""),")","")," ",""),"-","")</f>
        <v>4732050050</v>
      </c>
      <c r="M46" s="7" t="str">
        <f aca="false">SUBSTITUTE(SUBSTITUTE(SUBSTITUTE(SUBSTITUTE($I46,"(",""),")","")," ",""),"-","")</f>
        <v>47984151340</v>
      </c>
      <c r="N46" s="7" t="str">
        <f aca="false">IF(LEN($L46)=11,$L46,IF(LEN($M46)=11,$M46,""))</f>
        <v>47984151340</v>
      </c>
      <c r="O46" s="8" t="str">
        <f aca="false">IF($N46="","",HYPERLINK("https://wa.me/55"&amp;$N46,"Abrir conversa"))</f>
        <v>Abrir conversa</v>
      </c>
      <c r="P46" s="7" t="str">
        <f aca="false">SUBSTITUTE(INDEX(Mensagens!$D$2:$D$12,MATCH($K46,Mensagens!$A$2:$A$12,0)),"[nome]",$C46)</f>
        <v>Bom dia. Sou o Luis Carlos, da lavanderia do Posto Zandoná, na Ottokar Doerffel, 1489 — a poucos minutos de vocês.
Vocês entregam bastante unidade compacta de investidor, e quem coloca o imóvel pra temporada esbarra sempre no mesmo ponto: studio não tem área de serviço, e lençol de hóspede não seca dentro de apartamento.
Queria propor que a gente entre no kit de entrega de chaves: cupom de primeira lavagem grátis pro comprador e condição fixa pros proprietários do empreendimento, sem custo nenhum pra construtora.
Consigo 15 minutos com quem cuida do relacionamento com os compradores?</v>
      </c>
      <c r="Q46" s="9" t="s">
        <v>48</v>
      </c>
      <c r="R46" s="9"/>
    </row>
    <row r="47" customFormat="false" ht="55.5" hidden="false" customHeight="true" outlineLevel="0" collapsed="false">
      <c r="A47" s="7" t="s">
        <v>97</v>
      </c>
      <c r="B47" s="7" t="s">
        <v>121</v>
      </c>
      <c r="C47" s="7" t="s">
        <v>211</v>
      </c>
      <c r="D47" s="7" t="s">
        <v>212</v>
      </c>
      <c r="E47" s="7" t="s">
        <v>213</v>
      </c>
      <c r="F47" s="7" t="s">
        <v>214</v>
      </c>
      <c r="G47" s="7" t="s">
        <v>185</v>
      </c>
      <c r="H47" s="7" t="s">
        <v>215</v>
      </c>
      <c r="I47" s="7"/>
      <c r="J47" s="7" t="s">
        <v>216</v>
      </c>
      <c r="K47" s="7" t="s">
        <v>128</v>
      </c>
      <c r="L47" s="7" t="str">
        <f aca="false">SUBSTITUTE(SUBSTITUTE(SUBSTITUTE(SUBSTITUTE($H47,"(",""),")","")," ",""),"-","")</f>
        <v>47988381755</v>
      </c>
      <c r="M47" s="7" t="str">
        <f aca="false">SUBSTITUTE(SUBSTITUTE(SUBSTITUTE(SUBSTITUTE($I47,"(",""),")","")," ",""),"-","")</f>
        <v/>
      </c>
      <c r="N47" s="7" t="str">
        <f aca="false">IF(LEN($L47)=11,$L47,IF(LEN($M47)=11,$M47,""))</f>
        <v>47988381755</v>
      </c>
      <c r="O47" s="8" t="str">
        <f aca="false">IF($N47="","",HYPERLINK("https://wa.me/55"&amp;$N47,"Abrir conversa"))</f>
        <v>Abrir conversa</v>
      </c>
      <c r="P47" s="7" t="str">
        <f aca="false">SUBSTITUTE(INDEX(Mensagens!$D$2:$D$12,MATCH($K47,Mensagens!$A$2:$A$12,0)),"[nome]",$C47)</f>
        <v>Bom dia, Hostel Pousada Germanica! Aqui é o Luis Carlos, da lavanderia do Posto Zandoná, na Ottokar Doerffel, 1489.
É autosserviço — vocês mesmos usam as máquinas — mas são industriais: o enxoval de uma diária inteira vai de uma vez e sai seco na secadora em cerca de uma hora. Nada de lençol pendurado três dias no inverno.
Abrimos das 6h às 22h, com estacionamento na porta. E para empresa eu faturo no mês, com nota.
Queria te dar a primeira lavagem por conta da casa, pra vocês medirem quanto tempo economiza. Posso deixar o cupom aí?</v>
      </c>
      <c r="Q47" s="9" t="s">
        <v>48</v>
      </c>
      <c r="R47" s="9"/>
    </row>
    <row r="48" customFormat="false" ht="55.5" hidden="false" customHeight="true" outlineLevel="0" collapsed="false">
      <c r="A48" s="7" t="s">
        <v>97</v>
      </c>
      <c r="B48" s="7" t="s">
        <v>121</v>
      </c>
      <c r="C48" s="7" t="s">
        <v>217</v>
      </c>
      <c r="D48" s="7" t="s">
        <v>137</v>
      </c>
      <c r="E48" s="7" t="s">
        <v>218</v>
      </c>
      <c r="F48" s="7" t="s">
        <v>189</v>
      </c>
      <c r="G48" s="7" t="s">
        <v>185</v>
      </c>
      <c r="H48" s="7" t="s">
        <v>219</v>
      </c>
      <c r="I48" s="7"/>
      <c r="J48" s="7" t="s">
        <v>220</v>
      </c>
      <c r="K48" s="7" t="s">
        <v>128</v>
      </c>
      <c r="L48" s="7" t="str">
        <f aca="false">SUBSTITUTE(SUBSTITUTE(SUBSTITUTE(SUBSTITUTE($H48,"(",""),")","")," ",""),"-","")</f>
        <v>4734240844</v>
      </c>
      <c r="M48" s="7" t="str">
        <f aca="false">SUBSTITUTE(SUBSTITUTE(SUBSTITUTE(SUBSTITUTE($I48,"(",""),")","")," ",""),"-","")</f>
        <v/>
      </c>
      <c r="N48" s="7" t="str">
        <f aca="false">IF(LEN($L48)=11,$L48,IF(LEN($M48)=11,$M48,""))</f>
        <v/>
      </c>
      <c r="O48" s="8" t="str">
        <f aca="false">IF($N48="","",HYPERLINK("https://wa.me/55"&amp;$N48,"Abrir conversa"))</f>
        <v/>
      </c>
      <c r="P48" s="7" t="str">
        <f aca="false">SUBSTITUTE(INDEX(Mensagens!$D$2:$D$12,MATCH($K48,Mensagens!$A$2:$A$12,0)),"[nome]",$C48)</f>
        <v>Bom dia, Joinville Hostel &amp; Pousada! Aqui é o Luis Carlos, da lavanderia do Posto Zandoná, na Ottokar Doerffel, 1489.
É autosserviço — vocês mesmos usam as máquinas — mas são industriais: o enxoval de uma diária inteira vai de uma vez e sai seco na secadora em cerca de uma hora. Nada de lençol pendurado três dias no inverno.
Abrimos das 6h às 22h, com estacionamento na porta. E para empresa eu faturo no mês, com nota.
Queria te dar a primeira lavagem por conta da casa, pra vocês medirem quanto tempo economiza. Posso deixar o cupom aí?</v>
      </c>
      <c r="Q48" s="9" t="s">
        <v>48</v>
      </c>
      <c r="R48" s="9"/>
    </row>
    <row r="49" customFormat="false" ht="55.5" hidden="false" customHeight="true" outlineLevel="0" collapsed="false">
      <c r="A49" s="7" t="s">
        <v>97</v>
      </c>
      <c r="B49" s="7" t="s">
        <v>121</v>
      </c>
      <c r="C49" s="7" t="s">
        <v>221</v>
      </c>
      <c r="D49" s="7" t="s">
        <v>137</v>
      </c>
      <c r="E49" s="7"/>
      <c r="F49" s="7" t="s">
        <v>193</v>
      </c>
      <c r="G49" s="7" t="s">
        <v>185</v>
      </c>
      <c r="H49" s="7" t="s">
        <v>222</v>
      </c>
      <c r="I49" s="7"/>
      <c r="J49" s="7"/>
      <c r="K49" s="7" t="s">
        <v>128</v>
      </c>
      <c r="L49" s="7" t="str">
        <f aca="false">SUBSTITUTE(SUBSTITUTE(SUBSTITUTE(SUBSTITUTE($H49,"(",""),")","")," ",""),"-","")</f>
        <v>4734275656</v>
      </c>
      <c r="M49" s="7" t="str">
        <f aca="false">SUBSTITUTE(SUBSTITUTE(SUBSTITUTE(SUBSTITUTE($I49,"(",""),")","")," ",""),"-","")</f>
        <v/>
      </c>
      <c r="N49" s="7" t="str">
        <f aca="false">IF(LEN($L49)=11,$L49,IF(LEN($M49)=11,$M49,""))</f>
        <v/>
      </c>
      <c r="O49" s="8" t="str">
        <f aca="false">IF($N49="","",HYPERLINK("https://wa.me/55"&amp;$N49,"Abrir conversa"))</f>
        <v/>
      </c>
      <c r="P49" s="7" t="str">
        <f aca="false">SUBSTITUTE(INDEX(Mensagens!$D$2:$D$12,MATCH($K49,Mensagens!$A$2:$A$12,0)),"[nome]",$C49)</f>
        <v>Bom dia, Louros Apart Hotel! Aqui é o Luis Carlos, da lavanderia do Posto Zandoná, na Ottokar Doerffel, 1489.
É autosserviço — vocês mesmos usam as máquinas — mas são industriais: o enxoval de uma diária inteira vai de uma vez e sai seco na secadora em cerca de uma hora. Nada de lençol pendurado três dias no inverno.
Abrimos das 6h às 22h, com estacionamento na porta. E para empresa eu faturo no mês, com nota.
Queria te dar a primeira lavagem por conta da casa, pra vocês medirem quanto tempo economiza. Posso deixar o cupom aí?</v>
      </c>
      <c r="Q49" s="9" t="s">
        <v>48</v>
      </c>
      <c r="R49" s="9"/>
    </row>
    <row r="50" customFormat="false" ht="55.5" hidden="false" customHeight="true" outlineLevel="0" collapsed="false">
      <c r="A50" s="7" t="s">
        <v>97</v>
      </c>
      <c r="B50" s="7" t="s">
        <v>121</v>
      </c>
      <c r="C50" s="7" t="s">
        <v>223</v>
      </c>
      <c r="D50" s="7" t="s">
        <v>224</v>
      </c>
      <c r="E50" s="7" t="s">
        <v>225</v>
      </c>
      <c r="F50" s="7" t="s">
        <v>189</v>
      </c>
      <c r="G50" s="7" t="s">
        <v>185</v>
      </c>
      <c r="H50" s="7" t="s">
        <v>226</v>
      </c>
      <c r="I50" s="7"/>
      <c r="J50" s="7"/>
      <c r="K50" s="7" t="s">
        <v>128</v>
      </c>
      <c r="L50" s="7" t="str">
        <f aca="false">SUBSTITUTE(SUBSTITUTE(SUBSTITUTE(SUBSTITUTE($H50,"(",""),")","")," ",""),"-","")</f>
        <v>47989144439</v>
      </c>
      <c r="M50" s="7" t="str">
        <f aca="false">SUBSTITUTE(SUBSTITUTE(SUBSTITUTE(SUBSTITUTE($I50,"(",""),")","")," ",""),"-","")</f>
        <v/>
      </c>
      <c r="N50" s="7" t="str">
        <f aca="false">IF(LEN($L50)=11,$L50,IF(LEN($M50)=11,$M50,""))</f>
        <v>47989144439</v>
      </c>
      <c r="O50" s="8" t="str">
        <f aca="false">IF($N50="","",HYPERLINK("https://wa.me/55"&amp;$N50,"Abrir conversa"))</f>
        <v>Abrir conversa</v>
      </c>
      <c r="P50" s="7" t="str">
        <f aca="false">SUBSTITUTE(INDEX(Mensagens!$D$2:$D$12,MATCH($K50,Mensagens!$A$2:$A$12,0)),"[nome]",$C50)</f>
        <v>Bom dia, Pousada Bom Sossego! Aqui é o Luis Carlos, da lavanderia do Posto Zandoná, na Ottokar Doerffel, 1489.
É autosserviço — vocês mesmos usam as máquinas — mas são industriais: o enxoval de uma diária inteira vai de uma vez e sai seco na secadora em cerca de uma hora. Nada de lençol pendurado três dias no inverno.
Abrimos das 6h às 22h, com estacionamento na porta. E para empresa eu faturo no mês, com nota.
Queria te dar a primeira lavagem por conta da casa, pra vocês medirem quanto tempo economiza. Posso deixar o cupom aí?</v>
      </c>
      <c r="Q50" s="9" t="s">
        <v>48</v>
      </c>
      <c r="R50" s="9"/>
    </row>
    <row r="51" customFormat="false" ht="55.5" hidden="false" customHeight="true" outlineLevel="0" collapsed="false">
      <c r="A51" s="7" t="s">
        <v>97</v>
      </c>
      <c r="B51" s="7" t="s">
        <v>121</v>
      </c>
      <c r="C51" s="7" t="s">
        <v>227</v>
      </c>
      <c r="D51" s="7" t="s">
        <v>137</v>
      </c>
      <c r="E51" s="7" t="s">
        <v>228</v>
      </c>
      <c r="F51" s="7" t="s">
        <v>189</v>
      </c>
      <c r="G51" s="7" t="s">
        <v>185</v>
      </c>
      <c r="H51" s="7" t="s">
        <v>229</v>
      </c>
      <c r="I51" s="7" t="s">
        <v>230</v>
      </c>
      <c r="J51" s="7"/>
      <c r="K51" s="7" t="s">
        <v>128</v>
      </c>
      <c r="L51" s="7" t="str">
        <f aca="false">SUBSTITUTE(SUBSTITUTE(SUBSTITUTE(SUBSTITUTE($H51,"(",""),")","")," ",""),"-","")</f>
        <v>4734353747</v>
      </c>
      <c r="M51" s="7" t="str">
        <f aca="false">SUBSTITUTE(SUBSTITUTE(SUBSTITUTE(SUBSTITUTE($I51,"(",""),")","")," ",""),"-","")</f>
        <v>47988553191</v>
      </c>
      <c r="N51" s="7" t="str">
        <f aca="false">IF(LEN($L51)=11,$L51,IF(LEN($M51)=11,$M51,""))</f>
        <v>47988553191</v>
      </c>
      <c r="O51" s="8" t="str">
        <f aca="false">IF($N51="","",HYPERLINK("https://wa.me/55"&amp;$N51,"Abrir conversa"))</f>
        <v>Abrir conversa</v>
      </c>
      <c r="P51" s="7" t="str">
        <f aca="false">SUBSTITUTE(INDEX(Mensagens!$D$2:$D$12,MATCH($K51,Mensagens!$A$2:$A$12,0)),"[nome]",$C51)</f>
        <v>Bom dia, Pousada Saguacu (Saguacu Pousada Hotel)! Aqui é o Luis Carlos, da lavanderia do Posto Zandoná, na Ottokar Doerffel, 1489.
É autosserviço — vocês mesmos usam as máquinas — mas são industriais: o enxoval de uma diária inteira vai de uma vez e sai seco na secadora em cerca de uma hora. Nada de lençol pendurado três dias no inverno.
Abrimos das 6h às 22h, com estacionamento na porta. E para empresa eu faturo no mês, com nota.
Queria te dar a primeira lavagem por conta da casa, pra vocês medirem quanto tempo economiza. Posso deixar o cupom aí?</v>
      </c>
      <c r="Q51" s="9" t="s">
        <v>48</v>
      </c>
      <c r="R51" s="9"/>
    </row>
    <row r="52" customFormat="false" ht="55.5" hidden="false" customHeight="true" outlineLevel="0" collapsed="false">
      <c r="A52" s="7" t="s">
        <v>97</v>
      </c>
      <c r="B52" s="7" t="s">
        <v>63</v>
      </c>
      <c r="C52" s="7" t="s">
        <v>231</v>
      </c>
      <c r="D52" s="7"/>
      <c r="E52" s="7" t="s">
        <v>232</v>
      </c>
      <c r="F52" s="7" t="s">
        <v>189</v>
      </c>
      <c r="G52" s="7" t="s">
        <v>185</v>
      </c>
      <c r="H52" s="7"/>
      <c r="I52" s="7"/>
      <c r="J52" s="7" t="s">
        <v>233</v>
      </c>
      <c r="K52" s="7" t="s">
        <v>67</v>
      </c>
      <c r="L52" s="7" t="str">
        <f aca="false">SUBSTITUTE(SUBSTITUTE(SUBSTITUTE(SUBSTITUTE($H52,"(",""),")","")," ",""),"-","")</f>
        <v/>
      </c>
      <c r="M52" s="7" t="str">
        <f aca="false">SUBSTITUTE(SUBSTITUTE(SUBSTITUTE(SUBSTITUTE($I52,"(",""),")","")," ",""),"-","")</f>
        <v/>
      </c>
      <c r="N52" s="7" t="str">
        <f aca="false">IF(LEN($L52)=11,$L52,IF(LEN($M52)=11,$M52,""))</f>
        <v/>
      </c>
      <c r="O52" s="8" t="str">
        <f aca="false">IF($N52="","",HYPERLINK("https://wa.me/55"&amp;$N52,"Abrir conversa"))</f>
        <v/>
      </c>
      <c r="P52" s="7" t="str">
        <f aca="false">SUBSTITUTE(INDEX(Mensagens!$D$2:$D$12,MATCH($K52,Mensagens!$A$2:$A$12,0)),"[nome]",$C52)</f>
        <v>Bom dia! Sou o Luis Carlos, da lavanderia do Posto Zandoná, aqui na Ottokar Doerffel, 1489 — pertinho do prédio.
É autosserviço com máquina industrial, das 6h às 22h. O que mais traz morador daqui é edredom, cobertor e tapete, que não entram na máquina de apartamento.
Vi que o Studio H Residence - studios de ate 40 m2 tem bastante studio alugado por temporada, e esse pessoal vira enxoval toda semana.
Posso deixar cupons de primeira lavagem grátis na portaria pros moradores, e um cartaz pequeno no mural se o síndico autorizar?</v>
      </c>
      <c r="Q52" s="9" t="s">
        <v>48</v>
      </c>
      <c r="R52" s="9"/>
    </row>
    <row r="53" customFormat="false" ht="55.5" hidden="false" customHeight="true" outlineLevel="0" collapsed="false">
      <c r="A53" s="7" t="s">
        <v>115</v>
      </c>
      <c r="B53" s="7" t="s">
        <v>121</v>
      </c>
      <c r="C53" s="7" t="s">
        <v>234</v>
      </c>
      <c r="D53" s="7" t="s">
        <v>137</v>
      </c>
      <c r="E53" s="7" t="s">
        <v>235</v>
      </c>
      <c r="F53" s="7" t="s">
        <v>193</v>
      </c>
      <c r="G53" s="7" t="s">
        <v>185</v>
      </c>
      <c r="H53" s="7" t="s">
        <v>236</v>
      </c>
      <c r="I53" s="7"/>
      <c r="J53" s="7"/>
      <c r="K53" s="7" t="s">
        <v>128</v>
      </c>
      <c r="L53" s="7" t="str">
        <f aca="false">SUBSTITUTE(SUBSTITUTE(SUBSTITUTE(SUBSTITUTE($H53,"(",""),")","")," ",""),"-","")</f>
        <v>47984889961</v>
      </c>
      <c r="M53" s="7" t="str">
        <f aca="false">SUBSTITUTE(SUBSTITUTE(SUBSTITUTE(SUBSTITUTE($I53,"(",""),")","")," ",""),"-","")</f>
        <v/>
      </c>
      <c r="N53" s="7" t="str">
        <f aca="false">IF(LEN($L53)=11,$L53,IF(LEN($M53)=11,$M53,""))</f>
        <v>47984889961</v>
      </c>
      <c r="O53" s="8" t="str">
        <f aca="false">IF($N53="","",HYPERLINK("https://wa.me/55"&amp;$N53,"Abrir conversa"))</f>
        <v>Abrir conversa</v>
      </c>
      <c r="P53" s="7" t="str">
        <f aca="false">SUBSTITUTE(INDEX(Mensagens!$D$2:$D$12,MATCH($K53,Mensagens!$A$2:$A$12,0)),"[nome]",$C53)</f>
        <v>Bom dia, Economica Joinville Hostel e Pousada! Aqui é o Luis Carlos, da lavanderia do Posto Zandoná, na Ottokar Doerffel, 1489.
É autosserviço — vocês mesmos usam as máquinas — mas são industriais: o enxoval de uma diária inteira vai de uma vez e sai seco na secadora em cerca de uma hora. Nada de lençol pendurado três dias no inverno.
Abrimos das 6h às 22h, com estacionamento na porta. E para empresa eu faturo no mês, com nota.
Queria te dar a primeira lavagem por conta da casa, pra vocês medirem quanto tempo economiza. Posso deixar o cupom aí?</v>
      </c>
      <c r="Q53" s="9" t="s">
        <v>48</v>
      </c>
      <c r="R53" s="9"/>
    </row>
    <row r="54" customFormat="false" ht="55.5" hidden="false" customHeight="true" outlineLevel="0" collapsed="false">
      <c r="A54" s="7" t="s">
        <v>115</v>
      </c>
      <c r="B54" s="7" t="s">
        <v>121</v>
      </c>
      <c r="C54" s="7" t="s">
        <v>237</v>
      </c>
      <c r="D54" s="7" t="s">
        <v>238</v>
      </c>
      <c r="E54" s="7" t="s">
        <v>239</v>
      </c>
      <c r="F54" s="7" t="s">
        <v>240</v>
      </c>
      <c r="G54" s="7" t="s">
        <v>185</v>
      </c>
      <c r="H54" s="7"/>
      <c r="I54" s="7"/>
      <c r="J54" s="7"/>
      <c r="K54" s="7" t="s">
        <v>128</v>
      </c>
      <c r="L54" s="7" t="str">
        <f aca="false">SUBSTITUTE(SUBSTITUTE(SUBSTITUTE(SUBSTITUTE($H54,"(",""),")","")," ",""),"-","")</f>
        <v/>
      </c>
      <c r="M54" s="7" t="str">
        <f aca="false">SUBSTITUTE(SUBSTITUTE(SUBSTITUTE(SUBSTITUTE($I54,"(",""),")","")," ",""),"-","")</f>
        <v/>
      </c>
      <c r="N54" s="7" t="str">
        <f aca="false">IF(LEN($L54)=11,$L54,IF(LEN($M54)=11,$M54,""))</f>
        <v/>
      </c>
      <c r="O54" s="8" t="str">
        <f aca="false">IF($N54="","",HYPERLINK("https://wa.me/55"&amp;$N54,"Abrir conversa"))</f>
        <v/>
      </c>
      <c r="P54" s="7" t="str">
        <f aca="false">SUBSTITUTE(INDEX(Mensagens!$D$2:$D$12,MATCH($K54,Mensagens!$A$2:$A$12,0)),"[nome]",$C54)</f>
        <v>Bom dia, Hostel Casa do Sol! Aqui é o Luis Carlos, da lavanderia do Posto Zandoná, na Ottokar Doerffel, 1489.
É autosserviço — vocês mesmos usam as máquinas — mas são industriais: o enxoval de uma diária inteira vai de uma vez e sai seco na secadora em cerca de uma hora. Nada de lençol pendurado três dias no inverno.
Abrimos das 6h às 22h, com estacionamento na porta. E para empresa eu faturo no mês, com nota.
Queria te dar a primeira lavagem por conta da casa, pra vocês medirem quanto tempo economiza. Posso deixar o cupom aí?</v>
      </c>
      <c r="Q54" s="9" t="s">
        <v>48</v>
      </c>
      <c r="R54" s="9"/>
    </row>
    <row r="55" customFormat="false" ht="55.5" hidden="false" customHeight="true" outlineLevel="0" collapsed="false">
      <c r="A55" s="7" t="s">
        <v>115</v>
      </c>
      <c r="B55" s="7" t="s">
        <v>121</v>
      </c>
      <c r="C55" s="7" t="s">
        <v>241</v>
      </c>
      <c r="D55" s="7" t="s">
        <v>242</v>
      </c>
      <c r="E55" s="7" t="s">
        <v>243</v>
      </c>
      <c r="F55" s="7" t="s">
        <v>244</v>
      </c>
      <c r="G55" s="7" t="s">
        <v>185</v>
      </c>
      <c r="H55" s="7" t="s">
        <v>245</v>
      </c>
      <c r="I55" s="7"/>
      <c r="J55" s="7"/>
      <c r="K55" s="7" t="s">
        <v>128</v>
      </c>
      <c r="L55" s="7" t="str">
        <f aca="false">SUBSTITUTE(SUBSTITUTE(SUBSTITUTE(SUBSTITUTE($H55,"(",""),")","")," ",""),"-","")</f>
        <v>47999791951</v>
      </c>
      <c r="M55" s="7" t="str">
        <f aca="false">SUBSTITUTE(SUBSTITUTE(SUBSTITUTE(SUBSTITUTE($I55,"(",""),")","")," ",""),"-","")</f>
        <v/>
      </c>
      <c r="N55" s="7" t="str">
        <f aca="false">IF(LEN($L55)=11,$L55,IF(LEN($M55)=11,$M55,""))</f>
        <v>47999791951</v>
      </c>
      <c r="O55" s="8" t="str">
        <f aca="false">IF($N55="","",HYPERLINK("https://wa.me/55"&amp;$N55,"Abrir conversa"))</f>
        <v>Abrir conversa</v>
      </c>
      <c r="P55" s="7" t="str">
        <f aca="false">SUBSTITUTE(INDEX(Mensagens!$D$2:$D$12,MATCH($K55,Mensagens!$A$2:$A$12,0)),"[nome]",$C55)</f>
        <v>Bom dia, Hostel Cidade das Flores! Aqui é o Luis Carlos, da lavanderia do Posto Zandoná, na Ottokar Doerffel, 1489.
É autosserviço — vocês mesmos usam as máquinas — mas são industriais: o enxoval de uma diária inteira vai de uma vez e sai seco na secadora em cerca de uma hora. Nada de lençol pendurado três dias no inverno.
Abrimos das 6h às 22h, com estacionamento na porta. E para empresa eu faturo no mês, com nota.
Queria te dar a primeira lavagem por conta da casa, pra vocês medirem quanto tempo economiza. Posso deixar o cupom aí?</v>
      </c>
      <c r="Q55" s="9" t="s">
        <v>48</v>
      </c>
      <c r="R55" s="9"/>
    </row>
    <row r="56" customFormat="false" ht="55.5" hidden="false" customHeight="true" outlineLevel="0" collapsed="false">
      <c r="A56" s="7" t="s">
        <v>115</v>
      </c>
      <c r="B56" s="7" t="s">
        <v>121</v>
      </c>
      <c r="C56" s="7" t="s">
        <v>246</v>
      </c>
      <c r="D56" s="7" t="s">
        <v>242</v>
      </c>
      <c r="E56" s="7" t="s">
        <v>247</v>
      </c>
      <c r="F56" s="7" t="s">
        <v>240</v>
      </c>
      <c r="G56" s="7" t="s">
        <v>185</v>
      </c>
      <c r="H56" s="7" t="s">
        <v>248</v>
      </c>
      <c r="I56" s="7"/>
      <c r="J56" s="7"/>
      <c r="K56" s="7" t="s">
        <v>128</v>
      </c>
      <c r="L56" s="7" t="str">
        <f aca="false">SUBSTITUTE(SUBSTITUTE(SUBSTITUTE(SUBSTITUTE($H56,"(",""),")","")," ",""),"-","")</f>
        <v>47999312958</v>
      </c>
      <c r="M56" s="7" t="str">
        <f aca="false">SUBSTITUTE(SUBSTITUTE(SUBSTITUTE(SUBSTITUTE($I56,"(",""),")","")," ",""),"-","")</f>
        <v/>
      </c>
      <c r="N56" s="7" t="str">
        <f aca="false">IF(LEN($L56)=11,$L56,IF(LEN($M56)=11,$M56,""))</f>
        <v>47999312958</v>
      </c>
      <c r="O56" s="8" t="str">
        <f aca="false">IF($N56="","",HYPERLINK("https://wa.me/55"&amp;$N56,"Abrir conversa"))</f>
        <v>Abrir conversa</v>
      </c>
      <c r="P56" s="7" t="str">
        <f aca="false">SUBSTITUTE(INDEX(Mensagens!$D$2:$D$12,MATCH($K56,Mensagens!$A$2:$A$12,0)),"[nome]",$C56)</f>
        <v>Bom dia, Hostel Mandallah! Aqui é o Luis Carlos, da lavanderia do Posto Zandoná, na Ottokar Doerffel, 1489.
É autosserviço — vocês mesmos usam as máquinas — mas são industriais: o enxoval de uma diária inteira vai de uma vez e sai seco na secadora em cerca de uma hora. Nada de lençol pendurado três dias no inverno.
Abrimos das 6h às 22h, com estacionamento na porta. E para empresa eu faturo no mês, com nota.
Queria te dar a primeira lavagem por conta da casa, pra vocês medirem quanto tempo economiza. Posso deixar o cupom aí?</v>
      </c>
      <c r="Q56" s="9" t="s">
        <v>48</v>
      </c>
      <c r="R56" s="9"/>
    </row>
    <row r="57" customFormat="false" ht="55.5" hidden="false" customHeight="true" outlineLevel="0" collapsed="false">
      <c r="A57" s="7" t="s">
        <v>40</v>
      </c>
      <c r="B57" s="7" t="s">
        <v>249</v>
      </c>
      <c r="C57" s="7" t="s">
        <v>250</v>
      </c>
      <c r="D57" s="7"/>
      <c r="E57" s="7"/>
      <c r="F57" s="7" t="s">
        <v>244</v>
      </c>
      <c r="G57" s="7" t="s">
        <v>251</v>
      </c>
      <c r="H57" s="7"/>
      <c r="I57" s="7"/>
      <c r="J57" s="7" t="s">
        <v>252</v>
      </c>
      <c r="K57" s="7" t="s">
        <v>135</v>
      </c>
      <c r="L57" s="7" t="str">
        <f aca="false">SUBSTITUTE(SUBSTITUTE(SUBSTITUTE(SUBSTITUTE($H57,"(",""),")","")," ",""),"-","")</f>
        <v/>
      </c>
      <c r="M57" s="7" t="str">
        <f aca="false">SUBSTITUTE(SUBSTITUTE(SUBSTITUTE(SUBSTITUTE($I57,"(",""),")","")," ",""),"-","")</f>
        <v/>
      </c>
      <c r="N57" s="7" t="str">
        <f aca="false">IF(LEN($L57)=11,$L57,IF(LEN($M57)=11,$M57,""))</f>
        <v/>
      </c>
      <c r="O57" s="8" t="str">
        <f aca="false">IF($N57="","",HYPERLINK("https://wa.me/55"&amp;$N57,"Abrir conversa"))</f>
        <v/>
      </c>
      <c r="P57" s="7" t="str">
        <f aca="false">SUBSTITUTE(INDEX(Mensagens!$D$2:$D$12,MATCH($K57,Mensagens!$A$2:$A$12,0)),"[nome]",$C57)</f>
        <v>Bom dia, Alugueis Prime. Sou o Luis Carlos, da lavanderia do Posto Zandoná (Ottokar Doerffel, 1489, Anita Garibaldi).
Autosserviço com máquinas industriais: a equipe de limpeza de vocês resolve o enxoval de vários imóveis numa parada só — lava e seca em cerca de uma hora, das 6h às 22h, com estacionamento na porta.
Pra quem administra carteira eu abro conta faturada: a equipe usa as máquinas o mês todo e vocês recebem uma nota só no fechamento, sem ninguém pagando do próprio bolso e pedindo reembolso depois.
Topa testar com um imóvel? A primeira lavagem é por minha conta.</v>
      </c>
      <c r="Q57" s="9" t="s">
        <v>48</v>
      </c>
      <c r="R57" s="9"/>
    </row>
    <row r="58" customFormat="false" ht="55.5" hidden="false" customHeight="true" outlineLevel="0" collapsed="false">
      <c r="A58" s="7" t="s">
        <v>40</v>
      </c>
      <c r="B58" s="7" t="s">
        <v>249</v>
      </c>
      <c r="C58" s="7" t="s">
        <v>253</v>
      </c>
      <c r="D58" s="7"/>
      <c r="E58" s="7"/>
      <c r="F58" s="7" t="s">
        <v>244</v>
      </c>
      <c r="G58" s="7" t="s">
        <v>251</v>
      </c>
      <c r="H58" s="7" t="s">
        <v>254</v>
      </c>
      <c r="I58" s="7"/>
      <c r="J58" s="7" t="s">
        <v>255</v>
      </c>
      <c r="K58" s="7" t="s">
        <v>135</v>
      </c>
      <c r="L58" s="7" t="str">
        <f aca="false">SUBSTITUTE(SUBSTITUTE(SUBSTITUTE(SUBSTITUTE($H58,"(",""),")","")," ",""),"-","")</f>
        <v>47999841352</v>
      </c>
      <c r="M58" s="7" t="str">
        <f aca="false">SUBSTITUTE(SUBSTITUTE(SUBSTITUTE(SUBSTITUTE($I58,"(",""),")","")," ",""),"-","")</f>
        <v/>
      </c>
      <c r="N58" s="7" t="str">
        <f aca="false">IF(LEN($L58)=11,$L58,IF(LEN($M58)=11,$M58,""))</f>
        <v>47999841352</v>
      </c>
      <c r="O58" s="8" t="str">
        <f aca="false">IF($N58="","",HYPERLINK("https://wa.me/55"&amp;$N58,"Abrir conversa"))</f>
        <v>Abrir conversa</v>
      </c>
      <c r="P58" s="7" t="str">
        <f aca="false">SUBSTITUTE(INDEX(Mensagens!$D$2:$D$12,MATCH($K58,Mensagens!$A$2:$A$12,0)),"[nome]",$C58)</f>
        <v>Bom dia, Otto House (Tina Marcato). Sou o Luis Carlos, da lavanderia do Posto Zandoná (Ottokar Doerffel, 1489, Anita Garibaldi).
Autosserviço com máquinas industriais: a equipe de limpeza de vocês resolve o enxoval de vários imóveis numa parada só — lava e seca em cerca de uma hora, das 6h às 22h, com estacionamento na porta.
Pra quem administra carteira eu abro conta faturada: a equipe usa as máquinas o mês todo e vocês recebem uma nota só no fechamento, sem ninguém pagando do próprio bolso e pedindo reembolso depois.
Topa testar com um imóvel? A primeira lavagem é por minha conta.</v>
      </c>
      <c r="Q58" s="9" t="s">
        <v>48</v>
      </c>
      <c r="R58" s="9"/>
    </row>
    <row r="59" customFormat="false" ht="55.5" hidden="false" customHeight="true" outlineLevel="0" collapsed="false">
      <c r="A59" s="7" t="s">
        <v>97</v>
      </c>
      <c r="B59" s="7" t="s">
        <v>249</v>
      </c>
      <c r="C59" s="7" t="s">
        <v>256</v>
      </c>
      <c r="D59" s="7"/>
      <c r="E59" s="7"/>
      <c r="F59" s="7" t="s">
        <v>257</v>
      </c>
      <c r="G59" s="7" t="s">
        <v>251</v>
      </c>
      <c r="H59" s="7"/>
      <c r="I59" s="7"/>
      <c r="J59" s="7" t="s">
        <v>258</v>
      </c>
      <c r="K59" s="7" t="s">
        <v>135</v>
      </c>
      <c r="L59" s="7" t="str">
        <f aca="false">SUBSTITUTE(SUBSTITUTE(SUBSTITUTE(SUBSTITUTE($H59,"(",""),")","")," ",""),"-","")</f>
        <v/>
      </c>
      <c r="M59" s="7" t="str">
        <f aca="false">SUBSTITUTE(SUBSTITUTE(SUBSTITUTE(SUBSTITUTE($I59,"(",""),")","")," ",""),"-","")</f>
        <v/>
      </c>
      <c r="N59" s="7" t="str">
        <f aca="false">IF(LEN($L59)=11,$L59,IF(LEN($M59)=11,$M59,""))</f>
        <v/>
      </c>
      <c r="O59" s="8" t="str">
        <f aca="false">IF($N59="","",HYPERLINK("https://wa.me/55"&amp;$N59,"Abrir conversa"))</f>
        <v/>
      </c>
      <c r="P59" s="7" t="str">
        <f aca="false">SUBSTITUTE(INDEX(Mensagens!$D$2:$D$12,MATCH($K59,Mensagens!$A$2:$A$12,0)),"[nome]",$C59)</f>
        <v>Bom dia, Anfitriao Prime. Sou o Luis Carlos, da lavanderia do Posto Zandoná (Ottokar Doerffel, 1489, Anita Garibaldi).
Autosserviço com máquinas industriais: a equipe de limpeza de vocês resolve o enxoval de vários imóveis numa parada só — lava e seca em cerca de uma hora, das 6h às 22h, com estacionamento na porta.
Pra quem administra carteira eu abro conta faturada: a equipe usa as máquinas o mês todo e vocês recebem uma nota só no fechamento, sem ninguém pagando do próprio bolso e pedindo reembolso depois.
Topa testar com um imóvel? A primeira lavagem é por minha conta.</v>
      </c>
      <c r="Q59" s="9" t="s">
        <v>48</v>
      </c>
      <c r="R59" s="9"/>
    </row>
    <row r="60" customFormat="false" ht="55.5" hidden="false" customHeight="true" outlineLevel="0" collapsed="false">
      <c r="A60" s="7" t="s">
        <v>97</v>
      </c>
      <c r="B60" s="7" t="s">
        <v>57</v>
      </c>
      <c r="C60" s="7" t="s">
        <v>259</v>
      </c>
      <c r="D60" s="7"/>
      <c r="E60" s="7"/>
      <c r="F60" s="7" t="s">
        <v>260</v>
      </c>
      <c r="G60" s="7" t="s">
        <v>251</v>
      </c>
      <c r="H60" s="7"/>
      <c r="I60" s="7"/>
      <c r="J60" s="7" t="s">
        <v>261</v>
      </c>
      <c r="K60" s="7" t="s">
        <v>135</v>
      </c>
      <c r="L60" s="7" t="str">
        <f aca="false">SUBSTITUTE(SUBSTITUTE(SUBSTITUTE(SUBSTITUTE($H60,"(",""),")","")," ",""),"-","")</f>
        <v/>
      </c>
      <c r="M60" s="7" t="str">
        <f aca="false">SUBSTITUTE(SUBSTITUTE(SUBSTITUTE(SUBSTITUTE($I60,"(",""),")","")," ",""),"-","")</f>
        <v/>
      </c>
      <c r="N60" s="7" t="str">
        <f aca="false">IF(LEN($L60)=11,$L60,IF(LEN($M60)=11,$M60,""))</f>
        <v/>
      </c>
      <c r="O60" s="8" t="str">
        <f aca="false">IF($N60="","",HYPERLINK("https://wa.me/55"&amp;$N60,"Abrir conversa"))</f>
        <v/>
      </c>
      <c r="P60" s="7" t="str">
        <f aca="false">SUBSTITUTE(INDEX(Mensagens!$D$2:$D$12,MATCH($K60,Mensagens!$A$2:$A$12,0)),"[nome]",$C60)</f>
        <v>Bom dia, B.Homy - gestao de Airbnb. Sou o Luis Carlos, da lavanderia do Posto Zandoná (Ottokar Doerffel, 1489, Anita Garibaldi).
Autosserviço com máquinas industriais: a equipe de limpeza de vocês resolve o enxoval de vários imóveis numa parada só — lava e seca em cerca de uma hora, das 6h às 22h, com estacionamento na porta.
Pra quem administra carteira eu abro conta faturada: a equipe usa as máquinas o mês todo e vocês recebem uma nota só no fechamento, sem ninguém pagando do próprio bolso e pedindo reembolso depois.
Topa testar com um imóvel? A primeira lavagem é por minha conta.</v>
      </c>
      <c r="Q60" s="9" t="s">
        <v>48</v>
      </c>
      <c r="R60" s="9"/>
    </row>
    <row r="61" customFormat="false" ht="55.5" hidden="false" customHeight="true" outlineLevel="0" collapsed="false">
      <c r="A61" s="7" t="s">
        <v>115</v>
      </c>
      <c r="B61" s="7" t="s">
        <v>57</v>
      </c>
      <c r="C61" s="7" t="s">
        <v>262</v>
      </c>
      <c r="D61" s="7"/>
      <c r="E61" s="7"/>
      <c r="F61" s="7" t="s">
        <v>263</v>
      </c>
      <c r="G61" s="7" t="s">
        <v>251</v>
      </c>
      <c r="H61" s="7"/>
      <c r="I61" s="7"/>
      <c r="J61" s="7" t="s">
        <v>264</v>
      </c>
      <c r="K61" s="7" t="s">
        <v>135</v>
      </c>
      <c r="L61" s="7" t="str">
        <f aca="false">SUBSTITUTE(SUBSTITUTE(SUBSTITUTE(SUBSTITUTE($H61,"(",""),")","")," ",""),"-","")</f>
        <v/>
      </c>
      <c r="M61" s="7" t="str">
        <f aca="false">SUBSTITUTE(SUBSTITUTE(SUBSTITUTE(SUBSTITUTE($I61,"(",""),")","")," ",""),"-","")</f>
        <v/>
      </c>
      <c r="N61" s="7" t="str">
        <f aca="false">IF(LEN($L61)=11,$L61,IF(LEN($M61)=11,$M61,""))</f>
        <v/>
      </c>
      <c r="O61" s="8" t="str">
        <f aca="false">IF($N61="","",HYPERLINK("https://wa.me/55"&amp;$N61,"Abrir conversa"))</f>
        <v/>
      </c>
      <c r="P61" s="7" t="str">
        <f aca="false">SUBSTITUTE(INDEX(Mensagens!$D$2:$D$12,MATCH($K61,Mensagens!$A$2:$A$12,0)),"[nome]",$C61)</f>
        <v>Bom dia, Anfitrioes Gestao de Imoveis. Sou o Luis Carlos, da lavanderia do Posto Zandoná (Ottokar Doerffel, 1489, Anita Garibaldi).
Autosserviço com máquinas industriais: a equipe de limpeza de vocês resolve o enxoval de vários imóveis numa parada só — lava e seca em cerca de uma hora, das 6h às 22h, com estacionamento na porta.
Pra quem administra carteira eu abro conta faturada: a equipe usa as máquinas o mês todo e vocês recebem uma nota só no fechamento, sem ninguém pagando do próprio bolso e pedindo reembolso depois.
Topa testar com um imóvel? A primeira lavagem é por minha conta.</v>
      </c>
      <c r="Q61" s="9" t="s">
        <v>48</v>
      </c>
      <c r="R61" s="9"/>
    </row>
    <row r="62" customFormat="false" ht="55.5" hidden="false" customHeight="true" outlineLevel="0" collapsed="false">
      <c r="A62" s="7" t="s">
        <v>115</v>
      </c>
      <c r="B62" s="7" t="s">
        <v>121</v>
      </c>
      <c r="C62" s="7" t="s">
        <v>265</v>
      </c>
      <c r="D62" s="7" t="s">
        <v>266</v>
      </c>
      <c r="E62" s="7"/>
      <c r="F62" s="7" t="s">
        <v>244</v>
      </c>
      <c r="G62" s="7" t="s">
        <v>251</v>
      </c>
      <c r="H62" s="7"/>
      <c r="I62" s="7"/>
      <c r="J62" s="7" t="s">
        <v>267</v>
      </c>
      <c r="K62" s="7" t="s">
        <v>128</v>
      </c>
      <c r="L62" s="7" t="str">
        <f aca="false">SUBSTITUTE(SUBSTITUTE(SUBSTITUTE(SUBSTITUTE($H62,"(",""),")","")," ",""),"-","")</f>
        <v/>
      </c>
      <c r="M62" s="7" t="str">
        <f aca="false">SUBSTITUTE(SUBSTITUTE(SUBSTITUTE(SUBSTITUTE($I62,"(",""),")","")," ",""),"-","")</f>
        <v/>
      </c>
      <c r="N62" s="7" t="str">
        <f aca="false">IF(LEN($L62)=11,$L62,IF(LEN($M62)=11,$M62,""))</f>
        <v/>
      </c>
      <c r="O62" s="8" t="str">
        <f aca="false">IF($N62="","",HYPERLINK("https://wa.me/55"&amp;$N62,"Abrir conversa"))</f>
        <v/>
      </c>
      <c r="P62" s="7" t="str">
        <f aca="false">SUBSTITUTE(INDEX(Mensagens!$D$2:$D$12,MATCH($K62,Mensagens!$A$2:$A$12,0)),"[nome]",$C62)</f>
        <v>Bom dia, Hostel Urbano Joinville! Aqui é o Luis Carlos, da lavanderia do Posto Zandoná, na Ottokar Doerffel, 1489.
É autosserviço — vocês mesmos usam as máquinas — mas são industriais: o enxoval de uma diária inteira vai de uma vez e sai seco na secadora em cerca de uma hora. Nada de lençol pendurado três dias no inverno.
Abrimos das 6h às 22h, com estacionamento na porta. E para empresa eu faturo no mês, com nota.
Queria te dar a primeira lavagem por conta da casa, pra vocês medirem quanto tempo economiza. Posso deixar o cupom aí?</v>
      </c>
      <c r="Q62" s="9" t="s">
        <v>48</v>
      </c>
      <c r="R62" s="9"/>
    </row>
    <row r="63" customFormat="false" ht="55.5" hidden="false" customHeight="true" outlineLevel="0" collapsed="false">
      <c r="A63" s="7" t="s">
        <v>115</v>
      </c>
      <c r="B63" s="7" t="s">
        <v>63</v>
      </c>
      <c r="C63" s="7" t="s">
        <v>268</v>
      </c>
      <c r="D63" s="7"/>
      <c r="E63" s="7" t="s">
        <v>269</v>
      </c>
      <c r="F63" s="7" t="s">
        <v>44</v>
      </c>
      <c r="G63" s="7" t="s">
        <v>251</v>
      </c>
      <c r="H63" s="7"/>
      <c r="I63" s="7"/>
      <c r="J63" s="7" t="s">
        <v>270</v>
      </c>
      <c r="K63" s="7" t="s">
        <v>67</v>
      </c>
      <c r="L63" s="7" t="str">
        <f aca="false">SUBSTITUTE(SUBSTITUTE(SUBSTITUTE(SUBSTITUTE($H63,"(",""),")","")," ",""),"-","")</f>
        <v/>
      </c>
      <c r="M63" s="7" t="str">
        <f aca="false">SUBSTITUTE(SUBSTITUTE(SUBSTITUTE(SUBSTITUTE($I63,"(",""),")","")," ",""),"-","")</f>
        <v/>
      </c>
      <c r="N63" s="7" t="str">
        <f aca="false">IF(LEN($L63)=11,$L63,IF(LEN($M63)=11,$M63,""))</f>
        <v/>
      </c>
      <c r="O63" s="8" t="str">
        <f aca="false">IF($N63="","",HYPERLINK("https://wa.me/55"&amp;$N63,"Abrir conversa"))</f>
        <v/>
      </c>
      <c r="P63" s="7" t="str">
        <f aca="false">SUBSTITUTE(INDEX(Mensagens!$D$2:$D$12,MATCH($K63,Mensagens!$A$2:$A$12,0)),"[nome]",$C63)</f>
        <v>Bom dia! Sou o Luis Carlos, da lavanderia do Posto Zandoná, aqui na Ottokar Doerffel, 1489 — pertinho do prédio.
É autosserviço com máquina industrial, das 6h às 22h. O que mais traz morador daqui é edredom, cobertor e tapete, que não entram na máquina de apartamento.
Vi que o HotelSmart (124 studios mobiliados - em obra) tem bastante studio alugado por temporada, e esse pessoal vira enxoval toda semana.
Posso deixar cupons de primeira lavagem grátis na portaria pros moradores, e um cartaz pequeno no mural se o síndico autorizar?</v>
      </c>
      <c r="Q63" s="9" t="s">
        <v>48</v>
      </c>
      <c r="R63" s="9"/>
    </row>
  </sheetData>
  <autoFilter ref="A1:R63"/>
  <dataValidations count="1">
    <dataValidation allowBlank="true" errorStyle="stop" operator="between" showDropDown="false" showErrorMessage="false" showInputMessage="false" sqref="Q2:Q63" type="list">
      <formula1>"A contatar,Tentei contato,Em negociação,Fechou,Sem interesse"</formula1>
      <formula2>0</formula2>
    </dataValidation>
  </dataValidation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M32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2" topLeftCell="A3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34"/>
    <col collapsed="false" customWidth="true" hidden="false" outlineLevel="0" max="2" min="2" style="0" width="32"/>
    <col collapsed="false" customWidth="true" hidden="false" outlineLevel="0" max="4" min="3" style="0" width="18"/>
    <col collapsed="false" customWidth="true" hidden="false" outlineLevel="0" max="5" min="5" style="0" width="14"/>
    <col collapsed="false" customWidth="true" hidden="false" outlineLevel="0" max="6" min="6" style="0" width="30"/>
    <col collapsed="false" customWidth="true" hidden="false" outlineLevel="0" max="7" min="7" style="0" width="20"/>
    <col collapsed="false" customWidth="true" hidden="false" outlineLevel="0" max="8" min="8" style="0" width="24"/>
    <col collapsed="false" customWidth="true" hidden="false" outlineLevel="0" max="9" min="9" style="0" width="16"/>
    <col collapsed="false" customWidth="true" hidden="false" outlineLevel="0" max="10" min="10" style="0" width="10"/>
    <col collapsed="false" customWidth="true" hidden="false" outlineLevel="0" max="11" min="11" style="0" width="15"/>
    <col collapsed="false" customWidth="true" hidden="false" outlineLevel="0" max="12" min="12" style="0" width="78"/>
    <col collapsed="false" customWidth="true" hidden="false" outlineLevel="0" max="13" min="13" style="0" width="16"/>
  </cols>
  <sheetData>
    <row r="1" customFormat="false" ht="30" hidden="false" customHeight="true" outlineLevel="0" collapsed="false">
      <c r="A1" s="10" t="s">
        <v>271</v>
      </c>
      <c r="B1" s="10"/>
      <c r="C1" s="10"/>
      <c r="D1" s="10"/>
      <c r="E1" s="10"/>
      <c r="F1" s="10"/>
      <c r="G1" s="10"/>
      <c r="H1" s="10"/>
      <c r="I1" s="10"/>
      <c r="J1" s="10"/>
      <c r="K1" s="10"/>
      <c r="L1" s="10"/>
    </row>
    <row r="2" customFormat="false" ht="23.85" hidden="false" customHeight="false" outlineLevel="0" collapsed="false">
      <c r="A2" s="6" t="s">
        <v>272</v>
      </c>
      <c r="B2" s="6" t="s">
        <v>273</v>
      </c>
      <c r="C2" s="6" t="s">
        <v>27</v>
      </c>
      <c r="D2" s="6" t="s">
        <v>274</v>
      </c>
      <c r="E2" s="6" t="s">
        <v>275</v>
      </c>
      <c r="F2" s="6" t="s">
        <v>276</v>
      </c>
      <c r="G2" s="6" t="s">
        <v>277</v>
      </c>
      <c r="H2" s="6" t="s">
        <v>278</v>
      </c>
      <c r="I2" s="6" t="s">
        <v>279</v>
      </c>
      <c r="J2" s="6" t="s">
        <v>280</v>
      </c>
      <c r="K2" s="6" t="s">
        <v>36</v>
      </c>
      <c r="L2" s="6" t="s">
        <v>37</v>
      </c>
      <c r="M2" s="6" t="s">
        <v>38</v>
      </c>
    </row>
    <row r="3" customFormat="false" ht="55.5" hidden="false" customHeight="true" outlineLevel="0" collapsed="false">
      <c r="A3" s="11" t="s">
        <v>281</v>
      </c>
      <c r="B3" s="11" t="s">
        <v>282</v>
      </c>
      <c r="C3" s="11" t="s">
        <v>44</v>
      </c>
      <c r="D3" s="11" t="s">
        <v>283</v>
      </c>
      <c r="E3" s="11" t="n">
        <v>3</v>
      </c>
      <c r="F3" s="11" t="s">
        <v>284</v>
      </c>
      <c r="G3" s="11" t="s">
        <v>285</v>
      </c>
      <c r="H3" s="11" t="s">
        <v>286</v>
      </c>
      <c r="I3" s="7" t="str">
        <f aca="false">SUBSTITUTE(SUBSTITUTE(SUBSTITUTE(SUBSTITUTE($G3,"(",""),")","")," ",""),"-","")</f>
        <v>47900000000</v>
      </c>
      <c r="J3" s="7" t="str">
        <f aca="false">IF($I3="","",IF(LEN($I3)=11,"celular",IF(LEN($I3)=10,"fixo","conferir")))</f>
        <v>celular</v>
      </c>
      <c r="K3" s="8" t="str">
        <f aca="false">IF($J3="celular",HYPERLINK("https://wa.me/55"&amp;$I3,"Abrir conversa"),"")</f>
        <v>Abrir conversa</v>
      </c>
      <c r="L3" s="7" t="str">
        <f aca="false">IF($A3="","",SUBSTITUTE(INDEX(Mensagens!$D$2:$D$12,MATCH("anfitriao",Mensagens!$A$2:$A$12,0)),"[nome]",IF($D3="",$A3,$D3)))</f>
        <v>Oi, Sergio! Sou o Luis Carlos, da lavanderia do Posto Zandoná, na Ottokar Doerffel, 1489.
Já tem anfitrião aqui do bairro usando a gente pra virar apartamento: traz o enxoval de todas as unidades de uma vez, usa duas ou três máquinas ao mesmo tempo, e em cerca de uma hora sai com tudo lavado e seco.
É autosserviço, então você não depende de prazo de lavanderia nem de ninguém: entra, lava, seca e leva. Das 6h às 22h, estacionamento na porta — e dá pra abastecer ou lavar o carro na mesma parada.
A primeira lavagem é por minha conta. Quer testar na próxima virada?</v>
      </c>
      <c r="M3" s="12"/>
    </row>
    <row r="4" customFormat="false" ht="55.5" hidden="false" customHeight="true" outlineLevel="0" collapsed="false">
      <c r="A4" s="9"/>
      <c r="B4" s="9"/>
      <c r="C4" s="9"/>
      <c r="D4" s="9"/>
      <c r="E4" s="9"/>
      <c r="F4" s="9"/>
      <c r="G4" s="9"/>
      <c r="H4" s="9"/>
      <c r="I4" s="7" t="str">
        <f aca="false">SUBSTITUTE(SUBSTITUTE(SUBSTITUTE(SUBSTITUTE($G4,"(",""),")","")," ",""),"-","")</f>
        <v/>
      </c>
      <c r="J4" s="7" t="str">
        <f aca="false">IF($I4="","",IF(LEN($I4)=11,"celular",IF(LEN($I4)=10,"fixo","conferir")))</f>
        <v/>
      </c>
      <c r="K4" s="8" t="str">
        <f aca="false">IF($J4="celular",HYPERLINK("https://wa.me/55"&amp;$I4,"Abrir conversa"),"")</f>
        <v/>
      </c>
      <c r="L4" s="7" t="str">
        <f aca="false">IF($A4="","",SUBSTITUTE(INDEX(Mensagens!$D$2:$D$12,MATCH("anfitriao",Mensagens!$A$2:$A$12,0)),"[nome]",IF($D4="",$A4,$D4)))</f>
        <v/>
      </c>
      <c r="M4" s="12"/>
    </row>
    <row r="5" customFormat="false" ht="55.5" hidden="false" customHeight="true" outlineLevel="0" collapsed="false">
      <c r="A5" s="9"/>
      <c r="B5" s="9"/>
      <c r="C5" s="9"/>
      <c r="D5" s="9"/>
      <c r="E5" s="9"/>
      <c r="F5" s="9"/>
      <c r="G5" s="9"/>
      <c r="H5" s="9"/>
      <c r="I5" s="7" t="str">
        <f aca="false">SUBSTITUTE(SUBSTITUTE(SUBSTITUTE(SUBSTITUTE($G5,"(",""),")","")," ",""),"-","")</f>
        <v/>
      </c>
      <c r="J5" s="7" t="str">
        <f aca="false">IF($I5="","",IF(LEN($I5)=11,"celular",IF(LEN($I5)=10,"fixo","conferir")))</f>
        <v/>
      </c>
      <c r="K5" s="8" t="str">
        <f aca="false">IF($J5="celular",HYPERLINK("https://wa.me/55"&amp;$I5,"Abrir conversa"),"")</f>
        <v/>
      </c>
      <c r="L5" s="7" t="str">
        <f aca="false">IF($A5="","",SUBSTITUTE(INDEX(Mensagens!$D$2:$D$12,MATCH("anfitriao",Mensagens!$A$2:$A$12,0)),"[nome]",IF($D5="",$A5,$D5)))</f>
        <v/>
      </c>
      <c r="M5" s="12"/>
    </row>
    <row r="6" customFormat="false" ht="55.5" hidden="false" customHeight="true" outlineLevel="0" collapsed="false">
      <c r="A6" s="9"/>
      <c r="B6" s="9"/>
      <c r="C6" s="9"/>
      <c r="D6" s="9"/>
      <c r="E6" s="9"/>
      <c r="F6" s="9"/>
      <c r="G6" s="9"/>
      <c r="H6" s="9"/>
      <c r="I6" s="7" t="str">
        <f aca="false">SUBSTITUTE(SUBSTITUTE(SUBSTITUTE(SUBSTITUTE($G6,"(",""),")","")," ",""),"-","")</f>
        <v/>
      </c>
      <c r="J6" s="7" t="str">
        <f aca="false">IF($I6="","",IF(LEN($I6)=11,"celular",IF(LEN($I6)=10,"fixo","conferir")))</f>
        <v/>
      </c>
      <c r="K6" s="8" t="str">
        <f aca="false">IF($J6="celular",HYPERLINK("https://wa.me/55"&amp;$I6,"Abrir conversa"),"")</f>
        <v/>
      </c>
      <c r="L6" s="7" t="str">
        <f aca="false">IF($A6="","",SUBSTITUTE(INDEX(Mensagens!$D$2:$D$12,MATCH("anfitriao",Mensagens!$A$2:$A$12,0)),"[nome]",IF($D6="",$A6,$D6)))</f>
        <v/>
      </c>
      <c r="M6" s="12"/>
    </row>
    <row r="7" customFormat="false" ht="55.5" hidden="false" customHeight="true" outlineLevel="0" collapsed="false">
      <c r="A7" s="9"/>
      <c r="B7" s="9"/>
      <c r="C7" s="9"/>
      <c r="D7" s="9"/>
      <c r="E7" s="9"/>
      <c r="F7" s="9"/>
      <c r="G7" s="9"/>
      <c r="H7" s="9"/>
      <c r="I7" s="7" t="str">
        <f aca="false">SUBSTITUTE(SUBSTITUTE(SUBSTITUTE(SUBSTITUTE($G7,"(",""),")","")," ",""),"-","")</f>
        <v/>
      </c>
      <c r="J7" s="7" t="str">
        <f aca="false">IF($I7="","",IF(LEN($I7)=11,"celular",IF(LEN($I7)=10,"fixo","conferir")))</f>
        <v/>
      </c>
      <c r="K7" s="8" t="str">
        <f aca="false">IF($J7="celular",HYPERLINK("https://wa.me/55"&amp;$I7,"Abrir conversa"),"")</f>
        <v/>
      </c>
      <c r="L7" s="7" t="str">
        <f aca="false">IF($A7="","",SUBSTITUTE(INDEX(Mensagens!$D$2:$D$12,MATCH("anfitriao",Mensagens!$A$2:$A$12,0)),"[nome]",IF($D7="",$A7,$D7)))</f>
        <v/>
      </c>
      <c r="M7" s="12"/>
    </row>
    <row r="8" customFormat="false" ht="55.5" hidden="false" customHeight="true" outlineLevel="0" collapsed="false">
      <c r="A8" s="9"/>
      <c r="B8" s="9"/>
      <c r="C8" s="9"/>
      <c r="D8" s="9"/>
      <c r="E8" s="9"/>
      <c r="F8" s="9"/>
      <c r="G8" s="9"/>
      <c r="H8" s="9"/>
      <c r="I8" s="7" t="str">
        <f aca="false">SUBSTITUTE(SUBSTITUTE(SUBSTITUTE(SUBSTITUTE($G8,"(",""),")","")," ",""),"-","")</f>
        <v/>
      </c>
      <c r="J8" s="7" t="str">
        <f aca="false">IF($I8="","",IF(LEN($I8)=11,"celular",IF(LEN($I8)=10,"fixo","conferir")))</f>
        <v/>
      </c>
      <c r="K8" s="8" t="str">
        <f aca="false">IF($J8="celular",HYPERLINK("https://wa.me/55"&amp;$I8,"Abrir conversa"),"")</f>
        <v/>
      </c>
      <c r="L8" s="7" t="str">
        <f aca="false">IF($A8="","",SUBSTITUTE(INDEX(Mensagens!$D$2:$D$12,MATCH("anfitriao",Mensagens!$A$2:$A$12,0)),"[nome]",IF($D8="",$A8,$D8)))</f>
        <v/>
      </c>
      <c r="M8" s="12"/>
    </row>
    <row r="9" customFormat="false" ht="55.5" hidden="false" customHeight="true" outlineLevel="0" collapsed="false">
      <c r="A9" s="9"/>
      <c r="B9" s="9"/>
      <c r="C9" s="9"/>
      <c r="D9" s="9"/>
      <c r="E9" s="9"/>
      <c r="F9" s="9"/>
      <c r="G9" s="9"/>
      <c r="H9" s="9"/>
      <c r="I9" s="7" t="str">
        <f aca="false">SUBSTITUTE(SUBSTITUTE(SUBSTITUTE(SUBSTITUTE($G9,"(",""),")","")," ",""),"-","")</f>
        <v/>
      </c>
      <c r="J9" s="7" t="str">
        <f aca="false">IF($I9="","",IF(LEN($I9)=11,"celular",IF(LEN($I9)=10,"fixo","conferir")))</f>
        <v/>
      </c>
      <c r="K9" s="8" t="str">
        <f aca="false">IF($J9="celular",HYPERLINK("https://wa.me/55"&amp;$I9,"Abrir conversa"),"")</f>
        <v/>
      </c>
      <c r="L9" s="7" t="str">
        <f aca="false">IF($A9="","",SUBSTITUTE(INDEX(Mensagens!$D$2:$D$12,MATCH("anfitriao",Mensagens!$A$2:$A$12,0)),"[nome]",IF($D9="",$A9,$D9)))</f>
        <v/>
      </c>
      <c r="M9" s="12"/>
    </row>
    <row r="10" customFormat="false" ht="55.5" hidden="false" customHeight="true" outlineLevel="0" collapsed="false">
      <c r="A10" s="9"/>
      <c r="B10" s="9"/>
      <c r="C10" s="9"/>
      <c r="D10" s="9"/>
      <c r="E10" s="9"/>
      <c r="F10" s="9"/>
      <c r="G10" s="9"/>
      <c r="H10" s="9"/>
      <c r="I10" s="7" t="str">
        <f aca="false">SUBSTITUTE(SUBSTITUTE(SUBSTITUTE(SUBSTITUTE($G10,"(",""),")","")," ",""),"-","")</f>
        <v/>
      </c>
      <c r="J10" s="7" t="str">
        <f aca="false">IF($I10="","",IF(LEN($I10)=11,"celular",IF(LEN($I10)=10,"fixo","conferir")))</f>
        <v/>
      </c>
      <c r="K10" s="8" t="str">
        <f aca="false">IF($J10="celular",HYPERLINK("https://wa.me/55"&amp;$I10,"Abrir conversa"),"")</f>
        <v/>
      </c>
      <c r="L10" s="7" t="str">
        <f aca="false">IF($A10="","",SUBSTITUTE(INDEX(Mensagens!$D$2:$D$12,MATCH("anfitriao",Mensagens!$A$2:$A$12,0)),"[nome]",IF($D10="",$A10,$D10)))</f>
        <v/>
      </c>
      <c r="M10" s="12"/>
    </row>
    <row r="11" customFormat="false" ht="55.5" hidden="false" customHeight="true" outlineLevel="0" collapsed="false">
      <c r="A11" s="9"/>
      <c r="B11" s="9"/>
      <c r="C11" s="9"/>
      <c r="D11" s="9"/>
      <c r="E11" s="9"/>
      <c r="F11" s="9"/>
      <c r="G11" s="9"/>
      <c r="H11" s="9"/>
      <c r="I11" s="7" t="str">
        <f aca="false">SUBSTITUTE(SUBSTITUTE(SUBSTITUTE(SUBSTITUTE($G11,"(",""),")","")," ",""),"-","")</f>
        <v/>
      </c>
      <c r="J11" s="7" t="str">
        <f aca="false">IF($I11="","",IF(LEN($I11)=11,"celular",IF(LEN($I11)=10,"fixo","conferir")))</f>
        <v/>
      </c>
      <c r="K11" s="8" t="str">
        <f aca="false">IF($J11="celular",HYPERLINK("https://wa.me/55"&amp;$I11,"Abrir conversa"),"")</f>
        <v/>
      </c>
      <c r="L11" s="7" t="str">
        <f aca="false">IF($A11="","",SUBSTITUTE(INDEX(Mensagens!$D$2:$D$12,MATCH("anfitriao",Mensagens!$A$2:$A$12,0)),"[nome]",IF($D11="",$A11,$D11)))</f>
        <v/>
      </c>
      <c r="M11" s="12"/>
    </row>
    <row r="12" customFormat="false" ht="55.5" hidden="false" customHeight="true" outlineLevel="0" collapsed="false">
      <c r="A12" s="9"/>
      <c r="B12" s="9"/>
      <c r="C12" s="9"/>
      <c r="D12" s="9"/>
      <c r="E12" s="9"/>
      <c r="F12" s="9"/>
      <c r="G12" s="9"/>
      <c r="H12" s="9"/>
      <c r="I12" s="7" t="str">
        <f aca="false">SUBSTITUTE(SUBSTITUTE(SUBSTITUTE(SUBSTITUTE($G12,"(",""),")","")," ",""),"-","")</f>
        <v/>
      </c>
      <c r="J12" s="7" t="str">
        <f aca="false">IF($I12="","",IF(LEN($I12)=11,"celular",IF(LEN($I12)=10,"fixo","conferir")))</f>
        <v/>
      </c>
      <c r="K12" s="8" t="str">
        <f aca="false">IF($J12="celular",HYPERLINK("https://wa.me/55"&amp;$I12,"Abrir conversa"),"")</f>
        <v/>
      </c>
      <c r="L12" s="7" t="str">
        <f aca="false">IF($A12="","",SUBSTITUTE(INDEX(Mensagens!$D$2:$D$12,MATCH("anfitriao",Mensagens!$A$2:$A$12,0)),"[nome]",IF($D12="",$A12,$D12)))</f>
        <v/>
      </c>
      <c r="M12" s="12"/>
    </row>
    <row r="13" customFormat="false" ht="55.5" hidden="false" customHeight="true" outlineLevel="0" collapsed="false">
      <c r="A13" s="9"/>
      <c r="B13" s="9"/>
      <c r="C13" s="9"/>
      <c r="D13" s="9"/>
      <c r="E13" s="9"/>
      <c r="F13" s="9"/>
      <c r="G13" s="9"/>
      <c r="H13" s="9"/>
      <c r="I13" s="7" t="str">
        <f aca="false">SUBSTITUTE(SUBSTITUTE(SUBSTITUTE(SUBSTITUTE($G13,"(",""),")","")," ",""),"-","")</f>
        <v/>
      </c>
      <c r="J13" s="7" t="str">
        <f aca="false">IF($I13="","",IF(LEN($I13)=11,"celular",IF(LEN($I13)=10,"fixo","conferir")))</f>
        <v/>
      </c>
      <c r="K13" s="8" t="str">
        <f aca="false">IF($J13="celular",HYPERLINK("https://wa.me/55"&amp;$I13,"Abrir conversa"),"")</f>
        <v/>
      </c>
      <c r="L13" s="7" t="str">
        <f aca="false">IF($A13="","",SUBSTITUTE(INDEX(Mensagens!$D$2:$D$12,MATCH("anfitriao",Mensagens!$A$2:$A$12,0)),"[nome]",IF($D13="",$A13,$D13)))</f>
        <v/>
      </c>
      <c r="M13" s="12"/>
    </row>
    <row r="14" customFormat="false" ht="55.5" hidden="false" customHeight="true" outlineLevel="0" collapsed="false">
      <c r="A14" s="9"/>
      <c r="B14" s="9"/>
      <c r="C14" s="9"/>
      <c r="D14" s="9"/>
      <c r="E14" s="9"/>
      <c r="F14" s="9"/>
      <c r="G14" s="9"/>
      <c r="H14" s="9"/>
      <c r="I14" s="7" t="str">
        <f aca="false">SUBSTITUTE(SUBSTITUTE(SUBSTITUTE(SUBSTITUTE($G14,"(",""),")","")," ",""),"-","")</f>
        <v/>
      </c>
      <c r="J14" s="7" t="str">
        <f aca="false">IF($I14="","",IF(LEN($I14)=11,"celular",IF(LEN($I14)=10,"fixo","conferir")))</f>
        <v/>
      </c>
      <c r="K14" s="8" t="str">
        <f aca="false">IF($J14="celular",HYPERLINK("https://wa.me/55"&amp;$I14,"Abrir conversa"),"")</f>
        <v/>
      </c>
      <c r="L14" s="7" t="str">
        <f aca="false">IF($A14="","",SUBSTITUTE(INDEX(Mensagens!$D$2:$D$12,MATCH("anfitriao",Mensagens!$A$2:$A$12,0)),"[nome]",IF($D14="",$A14,$D14)))</f>
        <v/>
      </c>
      <c r="M14" s="12"/>
    </row>
    <row r="15" customFormat="false" ht="55.5" hidden="false" customHeight="true" outlineLevel="0" collapsed="false">
      <c r="A15" s="9"/>
      <c r="B15" s="9"/>
      <c r="C15" s="9"/>
      <c r="D15" s="9"/>
      <c r="E15" s="9"/>
      <c r="F15" s="9"/>
      <c r="G15" s="9"/>
      <c r="H15" s="9"/>
      <c r="I15" s="7" t="str">
        <f aca="false">SUBSTITUTE(SUBSTITUTE(SUBSTITUTE(SUBSTITUTE($G15,"(",""),")","")," ",""),"-","")</f>
        <v/>
      </c>
      <c r="J15" s="7" t="str">
        <f aca="false">IF($I15="","",IF(LEN($I15)=11,"celular",IF(LEN($I15)=10,"fixo","conferir")))</f>
        <v/>
      </c>
      <c r="K15" s="8" t="str">
        <f aca="false">IF($J15="celular",HYPERLINK("https://wa.me/55"&amp;$I15,"Abrir conversa"),"")</f>
        <v/>
      </c>
      <c r="L15" s="7" t="str">
        <f aca="false">IF($A15="","",SUBSTITUTE(INDEX(Mensagens!$D$2:$D$12,MATCH("anfitriao",Mensagens!$A$2:$A$12,0)),"[nome]",IF($D15="",$A15,$D15)))</f>
        <v/>
      </c>
      <c r="M15" s="12"/>
    </row>
    <row r="16" customFormat="false" ht="55.5" hidden="false" customHeight="true" outlineLevel="0" collapsed="false">
      <c r="A16" s="9"/>
      <c r="B16" s="9"/>
      <c r="C16" s="9"/>
      <c r="D16" s="9"/>
      <c r="E16" s="9"/>
      <c r="F16" s="9"/>
      <c r="G16" s="9"/>
      <c r="H16" s="9"/>
      <c r="I16" s="7" t="str">
        <f aca="false">SUBSTITUTE(SUBSTITUTE(SUBSTITUTE(SUBSTITUTE($G16,"(",""),")","")," ",""),"-","")</f>
        <v/>
      </c>
      <c r="J16" s="7" t="str">
        <f aca="false">IF($I16="","",IF(LEN($I16)=11,"celular",IF(LEN($I16)=10,"fixo","conferir")))</f>
        <v/>
      </c>
      <c r="K16" s="8" t="str">
        <f aca="false">IF($J16="celular",HYPERLINK("https://wa.me/55"&amp;$I16,"Abrir conversa"),"")</f>
        <v/>
      </c>
      <c r="L16" s="7" t="str">
        <f aca="false">IF($A16="","",SUBSTITUTE(INDEX(Mensagens!$D$2:$D$12,MATCH("anfitriao",Mensagens!$A$2:$A$12,0)),"[nome]",IF($D16="",$A16,$D16)))</f>
        <v/>
      </c>
      <c r="M16" s="12"/>
    </row>
    <row r="17" customFormat="false" ht="55.5" hidden="false" customHeight="true" outlineLevel="0" collapsed="false">
      <c r="A17" s="9"/>
      <c r="B17" s="9"/>
      <c r="C17" s="9"/>
      <c r="D17" s="9"/>
      <c r="E17" s="9"/>
      <c r="F17" s="9"/>
      <c r="G17" s="9"/>
      <c r="H17" s="9"/>
      <c r="I17" s="7" t="str">
        <f aca="false">SUBSTITUTE(SUBSTITUTE(SUBSTITUTE(SUBSTITUTE($G17,"(",""),")","")," ",""),"-","")</f>
        <v/>
      </c>
      <c r="J17" s="7" t="str">
        <f aca="false">IF($I17="","",IF(LEN($I17)=11,"celular",IF(LEN($I17)=10,"fixo","conferir")))</f>
        <v/>
      </c>
      <c r="K17" s="8" t="str">
        <f aca="false">IF($J17="celular",HYPERLINK("https://wa.me/55"&amp;$I17,"Abrir conversa"),"")</f>
        <v/>
      </c>
      <c r="L17" s="7" t="str">
        <f aca="false">IF($A17="","",SUBSTITUTE(INDEX(Mensagens!$D$2:$D$12,MATCH("anfitriao",Mensagens!$A$2:$A$12,0)),"[nome]",IF($D17="",$A17,$D17)))</f>
        <v/>
      </c>
      <c r="M17" s="12"/>
    </row>
    <row r="18" customFormat="false" ht="55.5" hidden="false" customHeight="true" outlineLevel="0" collapsed="false">
      <c r="A18" s="9"/>
      <c r="B18" s="9"/>
      <c r="C18" s="9"/>
      <c r="D18" s="9"/>
      <c r="E18" s="9"/>
      <c r="F18" s="9"/>
      <c r="G18" s="9"/>
      <c r="H18" s="9"/>
      <c r="I18" s="7" t="str">
        <f aca="false">SUBSTITUTE(SUBSTITUTE(SUBSTITUTE(SUBSTITUTE($G18,"(",""),")","")," ",""),"-","")</f>
        <v/>
      </c>
      <c r="J18" s="7" t="str">
        <f aca="false">IF($I18="","",IF(LEN($I18)=11,"celular",IF(LEN($I18)=10,"fixo","conferir")))</f>
        <v/>
      </c>
      <c r="K18" s="8" t="str">
        <f aca="false">IF($J18="celular",HYPERLINK("https://wa.me/55"&amp;$I18,"Abrir conversa"),"")</f>
        <v/>
      </c>
      <c r="L18" s="7" t="str">
        <f aca="false">IF($A18="","",SUBSTITUTE(INDEX(Mensagens!$D$2:$D$12,MATCH("anfitriao",Mensagens!$A$2:$A$12,0)),"[nome]",IF($D18="",$A18,$D18)))</f>
        <v/>
      </c>
      <c r="M18" s="12"/>
    </row>
    <row r="19" customFormat="false" ht="55.5" hidden="false" customHeight="true" outlineLevel="0" collapsed="false">
      <c r="A19" s="9"/>
      <c r="B19" s="9"/>
      <c r="C19" s="9"/>
      <c r="D19" s="9"/>
      <c r="E19" s="9"/>
      <c r="F19" s="9"/>
      <c r="G19" s="9"/>
      <c r="H19" s="9"/>
      <c r="I19" s="7" t="str">
        <f aca="false">SUBSTITUTE(SUBSTITUTE(SUBSTITUTE(SUBSTITUTE($G19,"(",""),")","")," ",""),"-","")</f>
        <v/>
      </c>
      <c r="J19" s="7" t="str">
        <f aca="false">IF($I19="","",IF(LEN($I19)=11,"celular",IF(LEN($I19)=10,"fixo","conferir")))</f>
        <v/>
      </c>
      <c r="K19" s="8" t="str">
        <f aca="false">IF($J19="celular",HYPERLINK("https://wa.me/55"&amp;$I19,"Abrir conversa"),"")</f>
        <v/>
      </c>
      <c r="L19" s="7" t="str">
        <f aca="false">IF($A19="","",SUBSTITUTE(INDEX(Mensagens!$D$2:$D$12,MATCH("anfitriao",Mensagens!$A$2:$A$12,0)),"[nome]",IF($D19="",$A19,$D19)))</f>
        <v/>
      </c>
      <c r="M19" s="12"/>
    </row>
    <row r="20" customFormat="false" ht="55.5" hidden="false" customHeight="true" outlineLevel="0" collapsed="false">
      <c r="A20" s="9"/>
      <c r="B20" s="9"/>
      <c r="C20" s="9"/>
      <c r="D20" s="9"/>
      <c r="E20" s="9"/>
      <c r="F20" s="9"/>
      <c r="G20" s="9"/>
      <c r="H20" s="9"/>
      <c r="I20" s="7" t="str">
        <f aca="false">SUBSTITUTE(SUBSTITUTE(SUBSTITUTE(SUBSTITUTE($G20,"(",""),")","")," ",""),"-","")</f>
        <v/>
      </c>
      <c r="J20" s="7" t="str">
        <f aca="false">IF($I20="","",IF(LEN($I20)=11,"celular",IF(LEN($I20)=10,"fixo","conferir")))</f>
        <v/>
      </c>
      <c r="K20" s="8" t="str">
        <f aca="false">IF($J20="celular",HYPERLINK("https://wa.me/55"&amp;$I20,"Abrir conversa"),"")</f>
        <v/>
      </c>
      <c r="L20" s="7" t="str">
        <f aca="false">IF($A20="","",SUBSTITUTE(INDEX(Mensagens!$D$2:$D$12,MATCH("anfitriao",Mensagens!$A$2:$A$12,0)),"[nome]",IF($D20="",$A20,$D20)))</f>
        <v/>
      </c>
      <c r="M20" s="12"/>
    </row>
    <row r="21" customFormat="false" ht="55.5" hidden="false" customHeight="true" outlineLevel="0" collapsed="false">
      <c r="A21" s="9"/>
      <c r="B21" s="9"/>
      <c r="C21" s="9"/>
      <c r="D21" s="9"/>
      <c r="E21" s="9"/>
      <c r="F21" s="9"/>
      <c r="G21" s="9"/>
      <c r="H21" s="9"/>
      <c r="I21" s="7" t="str">
        <f aca="false">SUBSTITUTE(SUBSTITUTE(SUBSTITUTE(SUBSTITUTE($G21,"(",""),")","")," ",""),"-","")</f>
        <v/>
      </c>
      <c r="J21" s="7" t="str">
        <f aca="false">IF($I21="","",IF(LEN($I21)=11,"celular",IF(LEN($I21)=10,"fixo","conferir")))</f>
        <v/>
      </c>
      <c r="K21" s="8" t="str">
        <f aca="false">IF($J21="celular",HYPERLINK("https://wa.me/55"&amp;$I21,"Abrir conversa"),"")</f>
        <v/>
      </c>
      <c r="L21" s="7" t="str">
        <f aca="false">IF($A21="","",SUBSTITUTE(INDEX(Mensagens!$D$2:$D$12,MATCH("anfitriao",Mensagens!$A$2:$A$12,0)),"[nome]",IF($D21="",$A21,$D21)))</f>
        <v/>
      </c>
      <c r="M21" s="12"/>
    </row>
    <row r="22" customFormat="false" ht="55.5" hidden="false" customHeight="true" outlineLevel="0" collapsed="false">
      <c r="A22" s="9"/>
      <c r="B22" s="9"/>
      <c r="C22" s="9"/>
      <c r="D22" s="9"/>
      <c r="E22" s="9"/>
      <c r="F22" s="9"/>
      <c r="G22" s="9"/>
      <c r="H22" s="9"/>
      <c r="I22" s="7" t="str">
        <f aca="false">SUBSTITUTE(SUBSTITUTE(SUBSTITUTE(SUBSTITUTE($G22,"(",""),")","")," ",""),"-","")</f>
        <v/>
      </c>
      <c r="J22" s="7" t="str">
        <f aca="false">IF($I22="","",IF(LEN($I22)=11,"celular",IF(LEN($I22)=10,"fixo","conferir")))</f>
        <v/>
      </c>
      <c r="K22" s="8" t="str">
        <f aca="false">IF($J22="celular",HYPERLINK("https://wa.me/55"&amp;$I22,"Abrir conversa"),"")</f>
        <v/>
      </c>
      <c r="L22" s="7" t="str">
        <f aca="false">IF($A22="","",SUBSTITUTE(INDEX(Mensagens!$D$2:$D$12,MATCH("anfitriao",Mensagens!$A$2:$A$12,0)),"[nome]",IF($D22="",$A22,$D22)))</f>
        <v/>
      </c>
      <c r="M22" s="12"/>
    </row>
    <row r="23" customFormat="false" ht="55.5" hidden="false" customHeight="true" outlineLevel="0" collapsed="false">
      <c r="A23" s="9"/>
      <c r="B23" s="9"/>
      <c r="C23" s="9"/>
      <c r="D23" s="9"/>
      <c r="E23" s="9"/>
      <c r="F23" s="9"/>
      <c r="G23" s="9"/>
      <c r="H23" s="9"/>
      <c r="I23" s="7" t="str">
        <f aca="false">SUBSTITUTE(SUBSTITUTE(SUBSTITUTE(SUBSTITUTE($G23,"(",""),")","")," ",""),"-","")</f>
        <v/>
      </c>
      <c r="J23" s="7" t="str">
        <f aca="false">IF($I23="","",IF(LEN($I23)=11,"celular",IF(LEN($I23)=10,"fixo","conferir")))</f>
        <v/>
      </c>
      <c r="K23" s="8" t="str">
        <f aca="false">IF($J23="celular",HYPERLINK("https://wa.me/55"&amp;$I23,"Abrir conversa"),"")</f>
        <v/>
      </c>
      <c r="L23" s="7" t="str">
        <f aca="false">IF($A23="","",SUBSTITUTE(INDEX(Mensagens!$D$2:$D$12,MATCH("anfitriao",Mensagens!$A$2:$A$12,0)),"[nome]",IF($D23="",$A23,$D23)))</f>
        <v/>
      </c>
      <c r="M23" s="12"/>
    </row>
    <row r="24" customFormat="false" ht="55.5" hidden="false" customHeight="true" outlineLevel="0" collapsed="false">
      <c r="A24" s="9"/>
      <c r="B24" s="9"/>
      <c r="C24" s="9"/>
      <c r="D24" s="9"/>
      <c r="E24" s="9"/>
      <c r="F24" s="9"/>
      <c r="G24" s="9"/>
      <c r="H24" s="9"/>
      <c r="I24" s="7" t="str">
        <f aca="false">SUBSTITUTE(SUBSTITUTE(SUBSTITUTE(SUBSTITUTE($G24,"(",""),")","")," ",""),"-","")</f>
        <v/>
      </c>
      <c r="J24" s="7" t="str">
        <f aca="false">IF($I24="","",IF(LEN($I24)=11,"celular",IF(LEN($I24)=10,"fixo","conferir")))</f>
        <v/>
      </c>
      <c r="K24" s="8" t="str">
        <f aca="false">IF($J24="celular",HYPERLINK("https://wa.me/55"&amp;$I24,"Abrir conversa"),"")</f>
        <v/>
      </c>
      <c r="L24" s="7" t="str">
        <f aca="false">IF($A24="","",SUBSTITUTE(INDEX(Mensagens!$D$2:$D$12,MATCH("anfitriao",Mensagens!$A$2:$A$12,0)),"[nome]",IF($D24="",$A24,$D24)))</f>
        <v/>
      </c>
      <c r="M24" s="12"/>
    </row>
    <row r="25" customFormat="false" ht="55.5" hidden="false" customHeight="true" outlineLevel="0" collapsed="false">
      <c r="A25" s="9"/>
      <c r="B25" s="9"/>
      <c r="C25" s="9"/>
      <c r="D25" s="9"/>
      <c r="E25" s="9"/>
      <c r="F25" s="9"/>
      <c r="G25" s="9"/>
      <c r="H25" s="9"/>
      <c r="I25" s="7" t="str">
        <f aca="false">SUBSTITUTE(SUBSTITUTE(SUBSTITUTE(SUBSTITUTE($G25,"(",""),")","")," ",""),"-","")</f>
        <v/>
      </c>
      <c r="J25" s="7" t="str">
        <f aca="false">IF($I25="","",IF(LEN($I25)=11,"celular",IF(LEN($I25)=10,"fixo","conferir")))</f>
        <v/>
      </c>
      <c r="K25" s="8" t="str">
        <f aca="false">IF($J25="celular",HYPERLINK("https://wa.me/55"&amp;$I25,"Abrir conversa"),"")</f>
        <v/>
      </c>
      <c r="L25" s="7" t="str">
        <f aca="false">IF($A25="","",SUBSTITUTE(INDEX(Mensagens!$D$2:$D$12,MATCH("anfitriao",Mensagens!$A$2:$A$12,0)),"[nome]",IF($D25="",$A25,$D25)))</f>
        <v/>
      </c>
      <c r="M25" s="12"/>
    </row>
    <row r="26" customFormat="false" ht="55.5" hidden="false" customHeight="true" outlineLevel="0" collapsed="false">
      <c r="A26" s="9"/>
      <c r="B26" s="9"/>
      <c r="C26" s="9"/>
      <c r="D26" s="9"/>
      <c r="E26" s="9"/>
      <c r="F26" s="9"/>
      <c r="G26" s="9"/>
      <c r="H26" s="9"/>
      <c r="I26" s="7" t="str">
        <f aca="false">SUBSTITUTE(SUBSTITUTE(SUBSTITUTE(SUBSTITUTE($G26,"(",""),")","")," ",""),"-","")</f>
        <v/>
      </c>
      <c r="J26" s="7" t="str">
        <f aca="false">IF($I26="","",IF(LEN($I26)=11,"celular",IF(LEN($I26)=10,"fixo","conferir")))</f>
        <v/>
      </c>
      <c r="K26" s="8" t="str">
        <f aca="false">IF($J26="celular",HYPERLINK("https://wa.me/55"&amp;$I26,"Abrir conversa"),"")</f>
        <v/>
      </c>
      <c r="L26" s="7" t="str">
        <f aca="false">IF($A26="","",SUBSTITUTE(INDEX(Mensagens!$D$2:$D$12,MATCH("anfitriao",Mensagens!$A$2:$A$12,0)),"[nome]",IF($D26="",$A26,$D26)))</f>
        <v/>
      </c>
      <c r="M26" s="12"/>
    </row>
    <row r="27" customFormat="false" ht="55.5" hidden="false" customHeight="true" outlineLevel="0" collapsed="false">
      <c r="A27" s="9"/>
      <c r="B27" s="9"/>
      <c r="C27" s="9"/>
      <c r="D27" s="9"/>
      <c r="E27" s="9"/>
      <c r="F27" s="9"/>
      <c r="G27" s="9"/>
      <c r="H27" s="9"/>
      <c r="I27" s="7" t="str">
        <f aca="false">SUBSTITUTE(SUBSTITUTE(SUBSTITUTE(SUBSTITUTE($G27,"(",""),")","")," ",""),"-","")</f>
        <v/>
      </c>
      <c r="J27" s="7" t="str">
        <f aca="false">IF($I27="","",IF(LEN($I27)=11,"celular",IF(LEN($I27)=10,"fixo","conferir")))</f>
        <v/>
      </c>
      <c r="K27" s="8" t="str">
        <f aca="false">IF($J27="celular",HYPERLINK("https://wa.me/55"&amp;$I27,"Abrir conversa"),"")</f>
        <v/>
      </c>
      <c r="L27" s="7" t="str">
        <f aca="false">IF($A27="","",SUBSTITUTE(INDEX(Mensagens!$D$2:$D$12,MATCH("anfitriao",Mensagens!$A$2:$A$12,0)),"[nome]",IF($D27="",$A27,$D27)))</f>
        <v/>
      </c>
      <c r="M27" s="12"/>
    </row>
    <row r="28" customFormat="false" ht="55.5" hidden="false" customHeight="true" outlineLevel="0" collapsed="false">
      <c r="A28" s="9"/>
      <c r="B28" s="9"/>
      <c r="C28" s="9"/>
      <c r="D28" s="9"/>
      <c r="E28" s="9"/>
      <c r="F28" s="9"/>
      <c r="G28" s="9"/>
      <c r="H28" s="9"/>
      <c r="I28" s="7" t="str">
        <f aca="false">SUBSTITUTE(SUBSTITUTE(SUBSTITUTE(SUBSTITUTE($G28,"(",""),")","")," ",""),"-","")</f>
        <v/>
      </c>
      <c r="J28" s="7" t="str">
        <f aca="false">IF($I28="","",IF(LEN($I28)=11,"celular",IF(LEN($I28)=10,"fixo","conferir")))</f>
        <v/>
      </c>
      <c r="K28" s="8" t="str">
        <f aca="false">IF($J28="celular",HYPERLINK("https://wa.me/55"&amp;$I28,"Abrir conversa"),"")</f>
        <v/>
      </c>
      <c r="L28" s="7" t="str">
        <f aca="false">IF($A28="","",SUBSTITUTE(INDEX(Mensagens!$D$2:$D$12,MATCH("anfitriao",Mensagens!$A$2:$A$12,0)),"[nome]",IF($D28="",$A28,$D28)))</f>
        <v/>
      </c>
      <c r="M28" s="12"/>
    </row>
    <row r="29" customFormat="false" ht="55.5" hidden="false" customHeight="true" outlineLevel="0" collapsed="false">
      <c r="A29" s="9"/>
      <c r="B29" s="9"/>
      <c r="C29" s="9"/>
      <c r="D29" s="9"/>
      <c r="E29" s="9"/>
      <c r="F29" s="9"/>
      <c r="G29" s="9"/>
      <c r="H29" s="9"/>
      <c r="I29" s="7" t="str">
        <f aca="false">SUBSTITUTE(SUBSTITUTE(SUBSTITUTE(SUBSTITUTE($G29,"(",""),")","")," ",""),"-","")</f>
        <v/>
      </c>
      <c r="J29" s="7" t="str">
        <f aca="false">IF($I29="","",IF(LEN($I29)=11,"celular",IF(LEN($I29)=10,"fixo","conferir")))</f>
        <v/>
      </c>
      <c r="K29" s="8" t="str">
        <f aca="false">IF($J29="celular",HYPERLINK("https://wa.me/55"&amp;$I29,"Abrir conversa"),"")</f>
        <v/>
      </c>
      <c r="L29" s="7" t="str">
        <f aca="false">IF($A29="","",SUBSTITUTE(INDEX(Mensagens!$D$2:$D$12,MATCH("anfitriao",Mensagens!$A$2:$A$12,0)),"[nome]",IF($D29="",$A29,$D29)))</f>
        <v/>
      </c>
      <c r="M29" s="12"/>
    </row>
    <row r="30" customFormat="false" ht="55.5" hidden="false" customHeight="true" outlineLevel="0" collapsed="false">
      <c r="A30" s="9"/>
      <c r="B30" s="9"/>
      <c r="C30" s="9"/>
      <c r="D30" s="9"/>
      <c r="E30" s="9"/>
      <c r="F30" s="9"/>
      <c r="G30" s="9"/>
      <c r="H30" s="9"/>
      <c r="I30" s="7" t="str">
        <f aca="false">SUBSTITUTE(SUBSTITUTE(SUBSTITUTE(SUBSTITUTE($G30,"(",""),")","")," ",""),"-","")</f>
        <v/>
      </c>
      <c r="J30" s="7" t="str">
        <f aca="false">IF($I30="","",IF(LEN($I30)=11,"celular",IF(LEN($I30)=10,"fixo","conferir")))</f>
        <v/>
      </c>
      <c r="K30" s="8" t="str">
        <f aca="false">IF($J30="celular",HYPERLINK("https://wa.me/55"&amp;$I30,"Abrir conversa"),"")</f>
        <v/>
      </c>
      <c r="L30" s="7" t="str">
        <f aca="false">IF($A30="","",SUBSTITUTE(INDEX(Mensagens!$D$2:$D$12,MATCH("anfitriao",Mensagens!$A$2:$A$12,0)),"[nome]",IF($D30="",$A30,$D30)))</f>
        <v/>
      </c>
      <c r="M30" s="12"/>
    </row>
    <row r="31" customFormat="false" ht="55.5" hidden="false" customHeight="true" outlineLevel="0" collapsed="false">
      <c r="A31" s="9"/>
      <c r="B31" s="9"/>
      <c r="C31" s="9"/>
      <c r="D31" s="9"/>
      <c r="E31" s="9"/>
      <c r="F31" s="9"/>
      <c r="G31" s="9"/>
      <c r="H31" s="9"/>
      <c r="I31" s="7" t="str">
        <f aca="false">SUBSTITUTE(SUBSTITUTE(SUBSTITUTE(SUBSTITUTE($G31,"(",""),")","")," ",""),"-","")</f>
        <v/>
      </c>
      <c r="J31" s="7" t="str">
        <f aca="false">IF($I31="","",IF(LEN($I31)=11,"celular",IF(LEN($I31)=10,"fixo","conferir")))</f>
        <v/>
      </c>
      <c r="K31" s="8" t="str">
        <f aca="false">IF($J31="celular",HYPERLINK("https://wa.me/55"&amp;$I31,"Abrir conversa"),"")</f>
        <v/>
      </c>
      <c r="L31" s="7" t="str">
        <f aca="false">IF($A31="","",SUBSTITUTE(INDEX(Mensagens!$D$2:$D$12,MATCH("anfitriao",Mensagens!$A$2:$A$12,0)),"[nome]",IF($D31="",$A31,$D31)))</f>
        <v/>
      </c>
      <c r="M31" s="12"/>
    </row>
    <row r="32" customFormat="false" ht="55.5" hidden="false" customHeight="true" outlineLevel="0" collapsed="false">
      <c r="A32" s="9"/>
      <c r="B32" s="9"/>
      <c r="C32" s="9"/>
      <c r="D32" s="9"/>
      <c r="E32" s="9"/>
      <c r="F32" s="9"/>
      <c r="G32" s="9"/>
      <c r="H32" s="9"/>
      <c r="I32" s="7" t="str">
        <f aca="false">SUBSTITUTE(SUBSTITUTE(SUBSTITUTE(SUBSTITUTE($G32,"(",""),")","")," ",""),"-","")</f>
        <v/>
      </c>
      <c r="J32" s="7" t="str">
        <f aca="false">IF($I32="","",IF(LEN($I32)=11,"celular",IF(LEN($I32)=10,"fixo","conferir")))</f>
        <v/>
      </c>
      <c r="K32" s="8" t="str">
        <f aca="false">IF($J32="celular",HYPERLINK("https://wa.me/55"&amp;$I32,"Abrir conversa"),"")</f>
        <v/>
      </c>
      <c r="L32" s="7" t="str">
        <f aca="false">IF($A32="","",SUBSTITUTE(INDEX(Mensagens!$D$2:$D$12,MATCH("anfitriao",Mensagens!$A$2:$A$12,0)),"[nome]",IF($D32="",$A32,$D32)))</f>
        <v/>
      </c>
      <c r="M32" s="12"/>
    </row>
  </sheetData>
  <mergeCells count="1">
    <mergeCell ref="A1:L1"/>
  </mergeCells>
  <dataValidations count="1">
    <dataValidation allowBlank="true" errorStyle="stop" operator="between" showDropDown="false" showErrorMessage="false" showInputMessage="false" sqref="M3:M32" type="list">
      <formula1>"A contatar,Tentei contato,Em negociação,Fechou,Sem interesse"</formula1>
      <formula2>0</formula2>
    </dataValidation>
  </dataValidation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D12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1" topLeftCell="A2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14"/>
    <col collapsed="false" customWidth="true" hidden="false" outlineLevel="0" max="2" min="2" style="0" width="42"/>
    <col collapsed="false" customWidth="true" hidden="false" outlineLevel="0" max="3" min="3" style="0" width="30"/>
    <col collapsed="false" customWidth="true" hidden="false" outlineLevel="0" max="4" min="4" style="0" width="110"/>
  </cols>
  <sheetData>
    <row r="1" customFormat="false" ht="15" hidden="false" customHeight="false" outlineLevel="0" collapsed="false">
      <c r="A1" s="6" t="s">
        <v>287</v>
      </c>
      <c r="B1" s="6" t="s">
        <v>288</v>
      </c>
      <c r="C1" s="6" t="s">
        <v>289</v>
      </c>
      <c r="D1" s="6" t="s">
        <v>290</v>
      </c>
    </row>
    <row r="2" customFormat="false" ht="117.75" hidden="false" customHeight="true" outlineLevel="0" collapsed="false">
      <c r="A2" s="7" t="s">
        <v>128</v>
      </c>
      <c r="B2" s="7" t="s">
        <v>291</v>
      </c>
      <c r="C2" s="7" t="s">
        <v>292</v>
      </c>
      <c r="D2" s="7" t="s">
        <v>293</v>
      </c>
    </row>
    <row r="3" customFormat="false" ht="117.75" hidden="false" customHeight="true" outlineLevel="0" collapsed="false">
      <c r="A3" s="7" t="s">
        <v>294</v>
      </c>
      <c r="B3" s="7" t="s">
        <v>295</v>
      </c>
      <c r="C3" s="7" t="s">
        <v>296</v>
      </c>
      <c r="D3" s="7" t="s">
        <v>297</v>
      </c>
    </row>
    <row r="4" customFormat="false" ht="117.75" hidden="false" customHeight="true" outlineLevel="0" collapsed="false">
      <c r="A4" s="7" t="s">
        <v>67</v>
      </c>
      <c r="B4" s="7" t="s">
        <v>298</v>
      </c>
      <c r="C4" s="7" t="s">
        <v>299</v>
      </c>
      <c r="D4" s="7" t="s">
        <v>300</v>
      </c>
    </row>
    <row r="5" customFormat="false" ht="117.75" hidden="false" customHeight="true" outlineLevel="0" collapsed="false">
      <c r="A5" s="7" t="s">
        <v>135</v>
      </c>
      <c r="B5" s="7" t="s">
        <v>301</v>
      </c>
      <c r="C5" s="7" t="s">
        <v>292</v>
      </c>
      <c r="D5" s="7" t="s">
        <v>302</v>
      </c>
    </row>
    <row r="6" customFormat="false" ht="117.75" hidden="false" customHeight="true" outlineLevel="0" collapsed="false">
      <c r="A6" s="7" t="s">
        <v>62</v>
      </c>
      <c r="B6" s="7" t="s">
        <v>303</v>
      </c>
      <c r="C6" s="7" t="s">
        <v>304</v>
      </c>
      <c r="D6" s="7" t="s">
        <v>305</v>
      </c>
    </row>
    <row r="7" customFormat="false" ht="117.75" hidden="false" customHeight="true" outlineLevel="0" collapsed="false">
      <c r="A7" s="7" t="s">
        <v>78</v>
      </c>
      <c r="B7" s="7" t="s">
        <v>306</v>
      </c>
      <c r="C7" s="7" t="s">
        <v>307</v>
      </c>
      <c r="D7" s="7" t="s">
        <v>308</v>
      </c>
    </row>
    <row r="8" customFormat="false" ht="117.75" hidden="false" customHeight="true" outlineLevel="0" collapsed="false">
      <c r="A8" s="7" t="s">
        <v>148</v>
      </c>
      <c r="B8" s="7" t="s">
        <v>309</v>
      </c>
      <c r="C8" s="7" t="s">
        <v>310</v>
      </c>
      <c r="D8" s="7" t="s">
        <v>311</v>
      </c>
    </row>
    <row r="9" customFormat="false" ht="117.75" hidden="false" customHeight="true" outlineLevel="0" collapsed="false">
      <c r="A9" s="7" t="s">
        <v>89</v>
      </c>
      <c r="B9" s="7" t="s">
        <v>312</v>
      </c>
      <c r="C9" s="7" t="s">
        <v>299</v>
      </c>
      <c r="D9" s="7" t="s">
        <v>313</v>
      </c>
    </row>
    <row r="10" customFormat="false" ht="117.75" hidden="false" customHeight="true" outlineLevel="0" collapsed="false">
      <c r="A10" s="7" t="s">
        <v>157</v>
      </c>
      <c r="B10" s="7" t="s">
        <v>153</v>
      </c>
      <c r="C10" s="7" t="s">
        <v>314</v>
      </c>
      <c r="D10" s="7" t="s">
        <v>315</v>
      </c>
    </row>
    <row r="11" customFormat="false" ht="117.75" hidden="false" customHeight="true" outlineLevel="0" collapsed="false">
      <c r="A11" s="7" t="s">
        <v>47</v>
      </c>
      <c r="B11" s="7" t="s">
        <v>316</v>
      </c>
      <c r="C11" s="7" t="s">
        <v>299</v>
      </c>
      <c r="D11" s="7" t="s">
        <v>317</v>
      </c>
    </row>
    <row r="12" customFormat="false" ht="117.75" hidden="false" customHeight="true" outlineLevel="0" collapsed="false">
      <c r="A12" s="7" t="s">
        <v>56</v>
      </c>
      <c r="B12" s="7" t="s">
        <v>318</v>
      </c>
      <c r="C12" s="7" t="s">
        <v>299</v>
      </c>
      <c r="D12" s="7" t="s">
        <v>319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LibreOffice/24.2.7.2$Linux_X86_64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2026-10-29T14:30:39Z</dcterms:created>
  <dc:creator>openpyxl</dc:creator>
  <dc:description/>
  <dc:language>en-US</dc:language>
  <cp:lastModifiedBy/>
  <dcterms:modified xsi:type="dcterms:W3CDTF">2026-10-29T14:30:39Z</dcterms:modified>
  <cp:revision>0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